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140" windowHeight="20280" activeTab="2"/>
  </bookViews>
  <sheets>
    <sheet name="batch_backtest_result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<sst xmlns="http://schemas.openxmlformats.org/spreadsheetml/2006/main" count="306" uniqueCount="245">
  <si>
    <t>市场</t>
  </si>
  <si>
    <t>代码</t>
  </si>
  <si>
    <t>均匀_累计收益</t>
  </si>
  <si>
    <t>均匀_最大回撤</t>
  </si>
  <si>
    <t>均匀_夏普比率</t>
  </si>
  <si>
    <t>PT_累计收益</t>
  </si>
  <si>
    <t>PT_最大回撤</t>
  </si>
  <si>
    <t>PT_夏普比率</t>
  </si>
  <si>
    <t>沪市主板</t>
  </si>
  <si>
    <t>0.8788282184870861</t>
  </si>
  <si>
    <t>0.6445663234256968</t>
  </si>
  <si>
    <t>0.5229251264499166</t>
  </si>
  <si>
    <t>0.8147971639105592</t>
  </si>
  <si>
    <t>4.067354438598413</t>
  </si>
  <si>
    <t>1.4101087970163166</t>
  </si>
  <si>
    <t>0.8982223694148987</t>
  </si>
  <si>
    <t>1.0849560194415224</t>
  </si>
  <si>
    <t>5.526058982021343</t>
  </si>
  <si>
    <t>1.4338623683301912</t>
  </si>
  <si>
    <t>0.4897381661535989</t>
  </si>
  <si>
    <t>0.7101165177055848</t>
  </si>
  <si>
    <t>4.937231119409256</t>
  </si>
  <si>
    <t>1.229810274885534</t>
  </si>
  <si>
    <t>0.7158556345657854</t>
  </si>
  <si>
    <t>0.656897814638887</t>
  </si>
  <si>
    <t>28.09338555406504</t>
  </si>
  <si>
    <t>1.6261167072807656</t>
  </si>
  <si>
    <t>0.05094487598906228</t>
  </si>
  <si>
    <t>0.16393806551999163</t>
  </si>
  <si>
    <t>5.714198081726507</t>
  </si>
  <si>
    <t>1.254272831964337</t>
  </si>
  <si>
    <t>0.24551150988677306</t>
  </si>
  <si>
    <t>0.3878824202964823</t>
  </si>
  <si>
    <t>6.411860185161177</t>
  </si>
  <si>
    <t>1.265039849869164</t>
  </si>
  <si>
    <t>0.0572075421490843</t>
  </si>
  <si>
    <t>0.1743082197782959</t>
  </si>
  <si>
    <t>9.246004115119947</t>
  </si>
  <si>
    <t>1.2788754041514425</t>
  </si>
  <si>
    <t>1.053040792093444</t>
  </si>
  <si>
    <t>0.8827419427545982</t>
  </si>
  <si>
    <t>0.27874410402121197</t>
  </si>
  <si>
    <t>0.48968047044754465</t>
  </si>
  <si>
    <t>2.051966967541986</t>
  </si>
  <si>
    <t>1.0652515314292874</t>
  </si>
  <si>
    <t>0.6223074451416222</t>
  </si>
  <si>
    <t>0.7162703484144782</t>
  </si>
  <si>
    <t>10.31066932519901</t>
  </si>
  <si>
    <t>1.4201517104174688</t>
  </si>
  <si>
    <t>0.10275982435526698</t>
  </si>
  <si>
    <t>0.2682281149812803</t>
  </si>
  <si>
    <t>1.6982856038677414</t>
  </si>
  <si>
    <t>1.301326268203342</t>
  </si>
  <si>
    <t>0.4804465062108656</t>
  </si>
  <si>
    <t>0.6728676519519597</t>
  </si>
  <si>
    <t>6.791136350418344</t>
  </si>
  <si>
    <t>1.3579625707203182</t>
  </si>
  <si>
    <t>0.7099459891313176</t>
  </si>
  <si>
    <t>0.7206361267251191</t>
  </si>
  <si>
    <t>31.576641441848686</t>
  </si>
  <si>
    <t>1.6981939241959445</t>
  </si>
  <si>
    <t>0.725132876302581</t>
  </si>
  <si>
    <t>0.717776735341006</t>
  </si>
  <si>
    <t>25.73721080408101</t>
  </si>
  <si>
    <t>1.5861575136697768</t>
  </si>
  <si>
    <t>0.39375564369382854</t>
  </si>
  <si>
    <t>0.4965149982338234</t>
  </si>
  <si>
    <t>13.19757037788454</t>
  </si>
  <si>
    <t>1.469620095527452</t>
  </si>
  <si>
    <t>4.081670435848084</t>
  </si>
  <si>
    <t>0.9656998582072039</t>
  </si>
  <si>
    <t>0.6336601861731299</t>
  </si>
  <si>
    <t>0.6647320316465286</t>
  </si>
  <si>
    <t>17.982638026956963</t>
  </si>
  <si>
    <t>1.5274122845333622</t>
  </si>
  <si>
    <t>0.13198185676405472</t>
  </si>
  <si>
    <t>0.27727910481820384</t>
  </si>
  <si>
    <t>1.9712456987033504</t>
  </si>
  <si>
    <t>1.0113163305717514</t>
  </si>
  <si>
    <t>2.2182953794863582</t>
  </si>
  <si>
    <t>0.7622604560848885</t>
  </si>
  <si>
    <t>深市</t>
  </si>
  <si>
    <t>0.14982706616931063</t>
  </si>
  <si>
    <t>0.26305412110576154</t>
  </si>
  <si>
    <t>48.1671058874091</t>
  </si>
  <si>
    <t>1.408390767210535</t>
  </si>
  <si>
    <t>000858</t>
  </si>
  <si>
    <t>4.484294787429499</t>
  </si>
  <si>
    <t>1.0959319826297063</t>
  </si>
  <si>
    <t>002594</t>
  </si>
  <si>
    <t>13.961968180004904</t>
  </si>
  <si>
    <t>1.4692289144197141</t>
  </si>
  <si>
    <t>000333</t>
  </si>
  <si>
    <t>0.23236335906895778</t>
  </si>
  <si>
    <t>0.37631562106709243</t>
  </si>
  <si>
    <t>3.904883513325843</t>
  </si>
  <si>
    <t>1.250157396173336</t>
  </si>
  <si>
    <t>0.08022231820579684</t>
  </si>
  <si>
    <t>0.19638945763997945</t>
  </si>
  <si>
    <t>5.709348590858589</t>
  </si>
  <si>
    <t>1.1287410581308108</t>
  </si>
  <si>
    <t>002415</t>
  </si>
  <si>
    <t>2.6097193540071943</t>
  </si>
  <si>
    <t>0.8622140359178097</t>
  </si>
  <si>
    <t>000651</t>
  </si>
  <si>
    <t>0.08378951719722871</t>
  </si>
  <si>
    <t>0.19939914731380806</t>
  </si>
  <si>
    <t>3.2464133786218</t>
  </si>
  <si>
    <t>1.026012628867073</t>
  </si>
  <si>
    <t>000001</t>
  </si>
  <si>
    <t>0.006076942752761226</t>
  </si>
  <si>
    <t>4.809668434682772</t>
  </si>
  <si>
    <t>1.0759239968473193</t>
  </si>
  <si>
    <t>000002</t>
  </si>
  <si>
    <t>10.000634773415808</t>
  </si>
  <si>
    <t>1.1838120554475235</t>
  </si>
  <si>
    <t>002304</t>
  </si>
  <si>
    <t>0.6891232731799093</t>
  </si>
  <si>
    <t>0.5111339428977859</t>
  </si>
  <si>
    <t>002142</t>
  </si>
  <si>
    <t>0.03561683214088451</t>
  </si>
  <si>
    <t>0.14672895663998153</t>
  </si>
  <si>
    <t>10.430896461435815</t>
  </si>
  <si>
    <t>1.345925143987071</t>
  </si>
  <si>
    <t>000568</t>
  </si>
  <si>
    <t>0.043755067444643844</t>
  </si>
  <si>
    <t>5.434820136351364</t>
  </si>
  <si>
    <t>1.0734367916212624</t>
  </si>
  <si>
    <t>000776</t>
  </si>
  <si>
    <t>0.27926026019174843</t>
  </si>
  <si>
    <t>0.3762856771289948</t>
  </si>
  <si>
    <t>14.74199207594211</t>
  </si>
  <si>
    <t>1.3992171346876519</t>
  </si>
  <si>
    <t>002714</t>
  </si>
  <si>
    <t>2.3662729463795538</t>
  </si>
  <si>
    <t>0.8663973595593487</t>
  </si>
  <si>
    <t>000895</t>
  </si>
  <si>
    <t>0.011994726756695329</t>
  </si>
  <si>
    <t>0.09372878308142703</t>
  </si>
  <si>
    <t>2.1562486732123367</t>
  </si>
  <si>
    <t>1.1283823906906303</t>
  </si>
  <si>
    <t>002230</t>
  </si>
  <si>
    <t>0.43052907169361787</t>
  </si>
  <si>
    <t>0.4317397581467069</t>
  </si>
  <si>
    <t>46.550887133500474</t>
  </si>
  <si>
    <t>1.6161095117828825</t>
  </si>
  <si>
    <t>000166</t>
  </si>
  <si>
    <t>0.18859207831544111</t>
  </si>
  <si>
    <t>0.32251873742841225</t>
  </si>
  <si>
    <t>5.065304602544604</t>
  </si>
  <si>
    <t>1.1456382254130106</t>
  </si>
  <si>
    <t>000063</t>
  </si>
  <si>
    <t>0.2268892226888195</t>
  </si>
  <si>
    <t>0.31574160900607595</t>
  </si>
  <si>
    <t>29.201757716317687</t>
  </si>
  <si>
    <t>1.4743101942976466</t>
  </si>
  <si>
    <t>001979</t>
  </si>
  <si>
    <t>8.507055485143583</t>
  </si>
  <si>
    <t>1.1576406774237078</t>
  </si>
  <si>
    <t>002027</t>
  </si>
  <si>
    <t>3.8924429387449466</t>
  </si>
  <si>
    <t>1.0573967879701784</t>
  </si>
  <si>
    <t>科创板</t>
  </si>
  <si>
    <t>1.9665162600742434</t>
  </si>
  <si>
    <t>0.8794541009014374</t>
  </si>
  <si>
    <t>596.3980626929963</t>
  </si>
  <si>
    <t>1.756086500130518</t>
  </si>
  <si>
    <t>0.9278039246749596</t>
  </si>
  <si>
    <t>0.6175397857517763</t>
  </si>
  <si>
    <t>186.63539670069014</t>
  </si>
  <si>
    <t>1.6680700259189927</t>
  </si>
  <si>
    <t>0.1664175427528449</t>
  </si>
  <si>
    <t>19.8862561047537</t>
  </si>
  <si>
    <t>1.295048152433319</t>
  </si>
  <si>
    <t>0.10586528300405451</t>
  </si>
  <si>
    <t>0.2558839492980634</t>
  </si>
  <si>
    <t>107.27275338470332</t>
  </si>
  <si>
    <t>1.4733975064761597</t>
  </si>
  <si>
    <t>1.3530746432248906</t>
  </si>
  <si>
    <t>0.7131724553091672</t>
  </si>
  <si>
    <t>248.7772437153934</t>
  </si>
  <si>
    <t>1.6152815323512346</t>
  </si>
  <si>
    <t>15.760186798735472</t>
  </si>
  <si>
    <t>1.424794828165558</t>
  </si>
  <si>
    <t>60576.50378167576</t>
  </si>
  <si>
    <t>2.317220034097421</t>
  </si>
  <si>
    <t>1.011513627237703</t>
  </si>
  <si>
    <t>0.639919203505912</t>
  </si>
  <si>
    <t>636.5260367721473</t>
  </si>
  <si>
    <t>1.9887071177412174</t>
  </si>
  <si>
    <t>9.67441508422154</t>
  </si>
  <si>
    <t>1.1630453624561892</t>
  </si>
  <si>
    <t>0.39234786390138887</t>
  </si>
  <si>
    <t>0.3989357144035608</t>
  </si>
  <si>
    <t>111.74753506782245</t>
  </si>
  <si>
    <t>1.5307250405126231</t>
  </si>
  <si>
    <t>4.542016772572237</t>
  </si>
  <si>
    <t>1.129377737507114</t>
  </si>
  <si>
    <t>10.46272922000429</t>
  </si>
  <si>
    <t>1.047836020237501</t>
  </si>
  <si>
    <t>0.4020307034068211</t>
  </si>
  <si>
    <t>0.48869739860375344</t>
  </si>
  <si>
    <t>12.191041589221085</t>
  </si>
  <si>
    <t>1.2554949850726864</t>
  </si>
  <si>
    <t>0.13110670659336993</t>
  </si>
  <si>
    <t>42.95391304993234</t>
  </si>
  <si>
    <t>1.3150758664171134</t>
  </si>
  <si>
    <t>0.14591144756874516</t>
  </si>
  <si>
    <t>35.0898637623931</t>
  </si>
  <si>
    <t>1.3806674033592188</t>
  </si>
  <si>
    <t>2.3706803187269574</t>
  </si>
  <si>
    <t>1.00705263714384</t>
  </si>
  <si>
    <t>319.03953622183025</t>
  </si>
  <si>
    <t>1.7265199042663577</t>
  </si>
  <si>
    <t>0.323881268100249</t>
  </si>
  <si>
    <t>0.364118088027219</t>
  </si>
  <si>
    <t>83.96045054416683</t>
  </si>
  <si>
    <t>1.3711298459626167</t>
  </si>
  <si>
    <t>1.1528442203191531</t>
  </si>
  <si>
    <t>0.6575894629713052</t>
  </si>
  <si>
    <t>220.5215521495737</t>
  </si>
  <si>
    <t>1.6423284653461019</t>
  </si>
  <si>
    <t>0.8596983137068999</t>
  </si>
  <si>
    <t>0.5465978243549141</t>
  </si>
  <si>
    <t>523.9596909387114</t>
  </si>
  <si>
    <t>1.6726181776690676</t>
  </si>
  <si>
    <t>0.28419203235774293</t>
  </si>
  <si>
    <t>0.3614207043435409</t>
  </si>
  <si>
    <t>105.46467667226713</t>
  </si>
  <si>
    <t>1.4983634980014036</t>
  </si>
  <si>
    <t>0.2421878632550325</t>
  </si>
  <si>
    <t>0.3210631354960409</t>
  </si>
  <si>
    <t>47.31787550104027</t>
  </si>
  <si>
    <t>1.288212699172012</t>
  </si>
  <si>
    <t>买入日期</t>
  </si>
  <si>
    <t>卖出日期</t>
  </si>
  <si>
    <t>买入价</t>
  </si>
  <si>
    <t>卖出价</t>
  </si>
  <si>
    <t>绝对收益</t>
  </si>
  <si>
    <t>收益率</t>
  </si>
  <si>
    <t>量子算法每次交易细节</t>
  </si>
  <si>
    <t>量子算法买入价</t>
  </si>
  <si>
    <t>量子算法卖出价</t>
  </si>
  <si>
    <t>真实买入价</t>
  </si>
  <si>
    <t>真实卖出价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</si>
</sst>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.5"/>
      <color rgb="FF18212F"/>
      <name val="宋体"/>
      <charset val="134"/>
      <scheme val="minor"/>
    </font>
    <font>
      <b/>
      <sz val="9.75"/>
      <color rgb="FF475569"/>
      <name val="宋体"/>
      <charset val="134"/>
      <scheme val="minor"/>
    </font>
    <font>
      <b/>
      <sz val="11"/>
      <color rgb="FFDC2626"/>
      <name val="宋体"/>
      <charset val="134"/>
      <scheme val="minor"/>
    </font>
    <font>
      <b/>
      <sz val="11"/>
      <color rgb="FF059669"/>
      <name val="宋体"/>
      <charset val="134"/>
      <scheme val="minor"/>
    </font>
    <font>
      <sz val="14"/>
      <color rgb="FF18212F"/>
      <name val="宋体"/>
      <charset val="134"/>
      <scheme val="minor"/>
    </font>
    <font>
      <b/>
      <sz val="14"/>
      <color rgb="FFDC2626"/>
      <name val="宋体"/>
      <charset val="134"/>
      <scheme val="minor"/>
    </font>
    <font>
      <b/>
      <sz val="14"/>
      <color rgb="FF05966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10" fontId="6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10" fontId="7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quotePrefix="1">
      <alignment horizontal="righ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zoomScaleSheetLayoutView="60" workbookViewId="0">
      <selection activeCell="M13" sqref="M13"/>
    </sheetView>
  </sheetViews>
  <sheetFormatPr defaultColWidth="10.3846153846154" defaultRowHeight="16.8"/>
  <cols>
    <col min="1" max="1" width="10.3076923076923" customWidth="1"/>
    <col min="2" max="2" width="7.69230769230769" customWidth="1"/>
    <col min="3" max="3" width="22.5384615384615" style="18" customWidth="1"/>
    <col min="4" max="4" width="16.3846153846154" style="18" customWidth="1"/>
    <col min="5" max="5" width="22.5384615384615" style="18" customWidth="1"/>
    <col min="6" max="6" width="20.2307692307692" style="18" customWidth="1"/>
    <col min="7" max="7" width="14.3846153846154" style="18" customWidth="1"/>
    <col min="8" max="8" width="20.2307692307692" style="18" customWidth="1"/>
  </cols>
  <sheetData>
    <row r="1" spans="1:11">
      <c r="A1" t="s">
        <v>0</v>
      </c>
      <c r="B1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11">
      <c r="A2" t="s">
        <v>8</v>
      </c>
      <c r="B2">
        <v>600519</v>
      </c>
      <c r="C2" s="18">
        <v>-0.321741647961024</v>
      </c>
      <c r="D2" s="18">
        <v>-0.438706222418816</v>
      </c>
      <c r="E2" s="18">
        <v>-0.567468891753195</v>
      </c>
      <c r="F2" s="19" t="s">
        <v>9</v>
      </c>
      <c r="G2" s="18">
        <v>-0.279042779960433</v>
      </c>
      <c r="H2" s="19" t="s">
        <v>10</v>
      </c>
      <c r="I2">
        <f>IF(F2&gt;C2,1,0)</f>
        <v>1</v>
      </c>
      <c r="J2">
        <f>IF(G2&gt;D2,1,0)</f>
        <v>1</v>
      </c>
      <c r="K2">
        <f>IF(H2&gt;E2,1,0)</f>
        <v>1</v>
      </c>
    </row>
    <row r="3" spans="1:11">
      <c r="A3" t="s">
        <v>8</v>
      </c>
      <c r="B3">
        <v>601398</v>
      </c>
      <c r="C3" s="19" t="s">
        <v>11</v>
      </c>
      <c r="D3" s="18">
        <v>-0.148337658720731</v>
      </c>
      <c r="E3" s="19" t="s">
        <v>12</v>
      </c>
      <c r="F3" s="19" t="s">
        <v>13</v>
      </c>
      <c r="G3" s="18">
        <v>-0.271390054453627</v>
      </c>
      <c r="H3" s="19" t="s">
        <v>14</v>
      </c>
      <c r="I3">
        <f t="shared" ref="I3:I34" si="0">IF(F3&gt;C3,1,0)</f>
        <v>1</v>
      </c>
      <c r="J3">
        <f t="shared" ref="J3:J34" si="1">IF(G3&gt;D3,1,0)</f>
        <v>0</v>
      </c>
      <c r="K3">
        <f t="shared" ref="K3:K34" si="2">IF(H3&gt;E3,1,0)</f>
        <v>1</v>
      </c>
    </row>
    <row r="4" spans="1:11">
      <c r="A4" t="s">
        <v>8</v>
      </c>
      <c r="B4">
        <v>601288</v>
      </c>
      <c r="C4" s="19" t="s">
        <v>15</v>
      </c>
      <c r="D4" s="18">
        <v>-0.165737264416589</v>
      </c>
      <c r="E4" s="19" t="s">
        <v>16</v>
      </c>
      <c r="F4" s="19" t="s">
        <v>17</v>
      </c>
      <c r="G4" s="18">
        <v>-0.260724197733496</v>
      </c>
      <c r="H4" s="19" t="s">
        <v>18</v>
      </c>
      <c r="I4">
        <f t="shared" si="0"/>
        <v>1</v>
      </c>
      <c r="J4">
        <f t="shared" si="1"/>
        <v>0</v>
      </c>
      <c r="K4">
        <f t="shared" si="2"/>
        <v>1</v>
      </c>
    </row>
    <row r="5" spans="1:11">
      <c r="A5" t="s">
        <v>8</v>
      </c>
      <c r="B5">
        <v>601988</v>
      </c>
      <c r="C5" s="19" t="s">
        <v>19</v>
      </c>
      <c r="D5" s="18">
        <v>-0.212926128350332</v>
      </c>
      <c r="E5" s="19" t="s">
        <v>20</v>
      </c>
      <c r="F5" s="19" t="s">
        <v>21</v>
      </c>
      <c r="G5" s="18">
        <v>-0.345585065304534</v>
      </c>
      <c r="H5" s="19" t="s">
        <v>22</v>
      </c>
      <c r="I5">
        <f t="shared" si="0"/>
        <v>1</v>
      </c>
      <c r="J5">
        <f t="shared" si="1"/>
        <v>0</v>
      </c>
      <c r="K5">
        <f t="shared" si="2"/>
        <v>1</v>
      </c>
    </row>
    <row r="6" spans="1:11">
      <c r="A6" t="s">
        <v>8</v>
      </c>
      <c r="B6">
        <v>601857</v>
      </c>
      <c r="C6" s="19" t="s">
        <v>23</v>
      </c>
      <c r="D6" s="18">
        <v>-0.225110002530237</v>
      </c>
      <c r="E6" s="19" t="s">
        <v>24</v>
      </c>
      <c r="F6" s="19" t="s">
        <v>25</v>
      </c>
      <c r="G6" s="18">
        <v>-0.295992677322253</v>
      </c>
      <c r="H6" s="19" t="s">
        <v>26</v>
      </c>
      <c r="I6">
        <f t="shared" si="0"/>
        <v>1</v>
      </c>
      <c r="J6">
        <f t="shared" si="1"/>
        <v>0</v>
      </c>
      <c r="K6">
        <f t="shared" si="2"/>
        <v>1</v>
      </c>
    </row>
    <row r="7" spans="1:11">
      <c r="A7" t="s">
        <v>8</v>
      </c>
      <c r="B7">
        <v>601088</v>
      </c>
      <c r="C7" s="19" t="s">
        <v>27</v>
      </c>
      <c r="D7" s="18">
        <v>-0.234555842342724</v>
      </c>
      <c r="E7" s="19" t="s">
        <v>28</v>
      </c>
      <c r="F7" s="19" t="s">
        <v>29</v>
      </c>
      <c r="G7" s="18">
        <v>-0.240096961447048</v>
      </c>
      <c r="H7" s="19" t="s">
        <v>30</v>
      </c>
      <c r="I7">
        <f t="shared" si="0"/>
        <v>1</v>
      </c>
      <c r="J7">
        <f t="shared" si="1"/>
        <v>0</v>
      </c>
      <c r="K7">
        <f t="shared" si="2"/>
        <v>1</v>
      </c>
    </row>
    <row r="8" spans="1:11">
      <c r="A8" t="s">
        <v>8</v>
      </c>
      <c r="B8">
        <v>600036</v>
      </c>
      <c r="C8" s="19" t="s">
        <v>31</v>
      </c>
      <c r="D8" s="18">
        <v>-0.196306542468081</v>
      </c>
      <c r="E8" s="19" t="s">
        <v>32</v>
      </c>
      <c r="F8" s="19" t="s">
        <v>33</v>
      </c>
      <c r="G8" s="18">
        <v>-0.210548475716516</v>
      </c>
      <c r="H8" s="19" t="s">
        <v>34</v>
      </c>
      <c r="I8">
        <f t="shared" si="0"/>
        <v>1</v>
      </c>
      <c r="J8">
        <f t="shared" si="1"/>
        <v>0</v>
      </c>
      <c r="K8">
        <f t="shared" si="2"/>
        <v>1</v>
      </c>
    </row>
    <row r="9" spans="1:11">
      <c r="A9" t="s">
        <v>8</v>
      </c>
      <c r="B9">
        <v>601628</v>
      </c>
      <c r="C9" s="19" t="s">
        <v>35</v>
      </c>
      <c r="D9" s="18">
        <v>-0.389272726514815</v>
      </c>
      <c r="E9" s="19" t="s">
        <v>36</v>
      </c>
      <c r="F9" s="19" t="s">
        <v>37</v>
      </c>
      <c r="G9" s="18">
        <v>-0.585340499835753</v>
      </c>
      <c r="H9" s="19" t="s">
        <v>38</v>
      </c>
      <c r="I9">
        <f t="shared" si="0"/>
        <v>1</v>
      </c>
      <c r="J9">
        <f t="shared" si="1"/>
        <v>0</v>
      </c>
      <c r="K9">
        <f t="shared" si="2"/>
        <v>1</v>
      </c>
    </row>
    <row r="10" spans="1:11">
      <c r="A10" t="s">
        <v>8</v>
      </c>
      <c r="B10">
        <v>601006</v>
      </c>
      <c r="C10" s="18">
        <v>-0.0368786711912627</v>
      </c>
      <c r="D10" s="18">
        <v>-0.198163263012683</v>
      </c>
      <c r="E10" s="18">
        <v>-0.0223091354926615</v>
      </c>
      <c r="F10" s="19" t="s">
        <v>39</v>
      </c>
      <c r="G10" s="18">
        <v>-0.164635709020591</v>
      </c>
      <c r="H10" s="19" t="s">
        <v>40</v>
      </c>
      <c r="I10">
        <f t="shared" si="0"/>
        <v>1</v>
      </c>
      <c r="J10">
        <f t="shared" si="1"/>
        <v>1</v>
      </c>
      <c r="K10">
        <f t="shared" si="2"/>
        <v>1</v>
      </c>
    </row>
    <row r="11" spans="1:11">
      <c r="A11" t="s">
        <v>8</v>
      </c>
      <c r="B11">
        <v>601328</v>
      </c>
      <c r="C11" s="19" t="s">
        <v>41</v>
      </c>
      <c r="D11" s="18">
        <v>-0.174649633141617</v>
      </c>
      <c r="E11" s="19" t="s">
        <v>42</v>
      </c>
      <c r="F11" s="19" t="s">
        <v>43</v>
      </c>
      <c r="G11" s="18">
        <v>-0.340066255527421</v>
      </c>
      <c r="H11" s="19" t="s">
        <v>44</v>
      </c>
      <c r="I11">
        <f t="shared" si="0"/>
        <v>1</v>
      </c>
      <c r="J11">
        <f t="shared" si="1"/>
        <v>0</v>
      </c>
      <c r="K11">
        <f t="shared" si="2"/>
        <v>1</v>
      </c>
    </row>
    <row r="12" spans="1:11">
      <c r="A12" t="s">
        <v>8</v>
      </c>
      <c r="B12">
        <v>600028</v>
      </c>
      <c r="C12" s="19" t="s">
        <v>45</v>
      </c>
      <c r="D12" s="18">
        <v>-0.177902145108432</v>
      </c>
      <c r="E12" s="19" t="s">
        <v>46</v>
      </c>
      <c r="F12" s="19" t="s">
        <v>47</v>
      </c>
      <c r="G12" s="18">
        <v>-0.335242870200836</v>
      </c>
      <c r="H12" s="19" t="s">
        <v>48</v>
      </c>
      <c r="I12">
        <f t="shared" si="0"/>
        <v>1</v>
      </c>
      <c r="J12">
        <f t="shared" si="1"/>
        <v>0</v>
      </c>
      <c r="K12">
        <f t="shared" si="2"/>
        <v>1</v>
      </c>
    </row>
    <row r="13" spans="1:11">
      <c r="A13" t="s">
        <v>8</v>
      </c>
      <c r="B13">
        <v>600900</v>
      </c>
      <c r="C13" s="19" t="s">
        <v>49</v>
      </c>
      <c r="D13" s="18">
        <v>-0.118623550217628</v>
      </c>
      <c r="E13" s="19" t="s">
        <v>50</v>
      </c>
      <c r="F13" s="19" t="s">
        <v>51</v>
      </c>
      <c r="G13" s="18">
        <v>-0.156659830257118</v>
      </c>
      <c r="H13" s="19" t="s">
        <v>52</v>
      </c>
      <c r="I13">
        <f t="shared" si="0"/>
        <v>1</v>
      </c>
      <c r="J13">
        <f t="shared" si="1"/>
        <v>0</v>
      </c>
      <c r="K13">
        <f t="shared" si="2"/>
        <v>1</v>
      </c>
    </row>
    <row r="14" spans="1:11">
      <c r="A14" t="s">
        <v>8</v>
      </c>
      <c r="B14">
        <v>601166</v>
      </c>
      <c r="C14" s="19" t="s">
        <v>53</v>
      </c>
      <c r="D14" s="18">
        <v>-0.187412846730461</v>
      </c>
      <c r="E14" s="19" t="s">
        <v>54</v>
      </c>
      <c r="F14" s="19" t="s">
        <v>55</v>
      </c>
      <c r="G14" s="18">
        <v>-0.235240737984112</v>
      </c>
      <c r="H14" s="19" t="s">
        <v>56</v>
      </c>
      <c r="I14">
        <f t="shared" si="0"/>
        <v>1</v>
      </c>
      <c r="J14">
        <f t="shared" si="1"/>
        <v>0</v>
      </c>
      <c r="K14">
        <f t="shared" si="2"/>
        <v>1</v>
      </c>
    </row>
    <row r="15" spans="1:11">
      <c r="A15" t="s">
        <v>8</v>
      </c>
      <c r="B15">
        <v>601998</v>
      </c>
      <c r="C15" s="19" t="s">
        <v>57</v>
      </c>
      <c r="D15" s="18">
        <v>-0.258181116115689</v>
      </c>
      <c r="E15" s="19" t="s">
        <v>58</v>
      </c>
      <c r="F15" s="19" t="s">
        <v>59</v>
      </c>
      <c r="G15" s="18">
        <v>-0.366355665752989</v>
      </c>
      <c r="H15" s="19" t="s">
        <v>60</v>
      </c>
      <c r="I15">
        <f t="shared" si="0"/>
        <v>1</v>
      </c>
      <c r="J15">
        <f t="shared" si="1"/>
        <v>0</v>
      </c>
      <c r="K15">
        <f t="shared" si="2"/>
        <v>1</v>
      </c>
    </row>
    <row r="16" spans="1:11">
      <c r="A16" t="s">
        <v>8</v>
      </c>
      <c r="B16">
        <v>600030</v>
      </c>
      <c r="C16" s="19" t="s">
        <v>61</v>
      </c>
      <c r="D16" s="18">
        <v>-0.221883417586077</v>
      </c>
      <c r="E16" s="19" t="s">
        <v>62</v>
      </c>
      <c r="F16" s="19" t="s">
        <v>63</v>
      </c>
      <c r="G16" s="18">
        <v>-0.273602333017679</v>
      </c>
      <c r="H16" s="19" t="s">
        <v>64</v>
      </c>
      <c r="I16">
        <f t="shared" si="0"/>
        <v>1</v>
      </c>
      <c r="J16">
        <f t="shared" si="1"/>
        <v>0</v>
      </c>
      <c r="K16">
        <f t="shared" si="2"/>
        <v>1</v>
      </c>
    </row>
    <row r="17" spans="1:11">
      <c r="A17" t="s">
        <v>8</v>
      </c>
      <c r="B17">
        <v>601318</v>
      </c>
      <c r="C17" s="19" t="s">
        <v>65</v>
      </c>
      <c r="D17" s="18">
        <v>-0.271679864122231</v>
      </c>
      <c r="E17" s="19" t="s">
        <v>66</v>
      </c>
      <c r="F17" s="19" t="s">
        <v>67</v>
      </c>
      <c r="G17" s="18">
        <v>-0.352349714458887</v>
      </c>
      <c r="H17" s="19" t="s">
        <v>68</v>
      </c>
      <c r="I17">
        <f t="shared" si="0"/>
        <v>1</v>
      </c>
      <c r="J17">
        <f t="shared" si="1"/>
        <v>0</v>
      </c>
      <c r="K17">
        <f t="shared" si="2"/>
        <v>1</v>
      </c>
    </row>
    <row r="18" spans="1:11">
      <c r="A18" t="s">
        <v>8</v>
      </c>
      <c r="B18">
        <v>600104</v>
      </c>
      <c r="C18" s="18">
        <v>-0.117496469712148</v>
      </c>
      <c r="D18" s="18">
        <v>-0.292230266752866</v>
      </c>
      <c r="E18" s="18">
        <v>-0.0322774166334991</v>
      </c>
      <c r="F18" s="19" t="s">
        <v>69</v>
      </c>
      <c r="G18" s="18">
        <v>-0.428235314968161</v>
      </c>
      <c r="H18" s="19" t="s">
        <v>70</v>
      </c>
      <c r="I18">
        <f t="shared" si="0"/>
        <v>1</v>
      </c>
      <c r="J18">
        <f t="shared" si="1"/>
        <v>0</v>
      </c>
      <c r="K18">
        <f t="shared" si="2"/>
        <v>1</v>
      </c>
    </row>
    <row r="19" spans="1:11">
      <c r="A19" t="s">
        <v>8</v>
      </c>
      <c r="B19">
        <v>601688</v>
      </c>
      <c r="C19" s="19" t="s">
        <v>71</v>
      </c>
      <c r="D19" s="18">
        <v>-0.222194383847235</v>
      </c>
      <c r="E19" s="19" t="s">
        <v>72</v>
      </c>
      <c r="F19" s="19" t="s">
        <v>73</v>
      </c>
      <c r="G19" s="18">
        <v>-0.307234921939938</v>
      </c>
      <c r="H19" s="19" t="s">
        <v>74</v>
      </c>
      <c r="I19">
        <f t="shared" si="0"/>
        <v>1</v>
      </c>
      <c r="J19">
        <f t="shared" si="1"/>
        <v>0</v>
      </c>
      <c r="K19">
        <f t="shared" si="2"/>
        <v>1</v>
      </c>
    </row>
    <row r="20" spans="1:11">
      <c r="A20" t="s">
        <v>8</v>
      </c>
      <c r="B20">
        <v>600000</v>
      </c>
      <c r="C20" s="19" t="s">
        <v>75</v>
      </c>
      <c r="D20" s="18">
        <v>-0.274919706247953</v>
      </c>
      <c r="E20" s="19" t="s">
        <v>76</v>
      </c>
      <c r="F20" s="19" t="s">
        <v>77</v>
      </c>
      <c r="G20" s="18">
        <v>-0.389256766897288</v>
      </c>
      <c r="H20" s="19" t="s">
        <v>78</v>
      </c>
      <c r="I20">
        <f t="shared" si="0"/>
        <v>1</v>
      </c>
      <c r="J20">
        <f t="shared" si="1"/>
        <v>0</v>
      </c>
      <c r="K20">
        <f t="shared" si="2"/>
        <v>1</v>
      </c>
    </row>
    <row r="21" spans="1:11">
      <c r="A21" t="s">
        <v>8</v>
      </c>
      <c r="B21">
        <v>600048</v>
      </c>
      <c r="C21" s="18">
        <v>-0.497930363304082</v>
      </c>
      <c r="D21" s="18">
        <v>-0.52600663883507</v>
      </c>
      <c r="E21" s="18">
        <v>-0.556089364704578</v>
      </c>
      <c r="F21" s="19" t="s">
        <v>79</v>
      </c>
      <c r="G21" s="18">
        <v>-0.450821454357101</v>
      </c>
      <c r="H21" s="19" t="s">
        <v>80</v>
      </c>
      <c r="I21">
        <f t="shared" si="0"/>
        <v>1</v>
      </c>
      <c r="J21">
        <f t="shared" si="1"/>
        <v>1</v>
      </c>
      <c r="K21">
        <f t="shared" si="2"/>
        <v>1</v>
      </c>
    </row>
    <row r="22" spans="1:11">
      <c r="A22" t="s">
        <v>81</v>
      </c>
      <c r="B22">
        <v>300750</v>
      </c>
      <c r="C22" s="19" t="s">
        <v>82</v>
      </c>
      <c r="D22" s="18">
        <v>-0.394684984479986</v>
      </c>
      <c r="E22" s="19" t="s">
        <v>83</v>
      </c>
      <c r="F22" s="19" t="s">
        <v>84</v>
      </c>
      <c r="G22" s="18">
        <v>-0.462269425895224</v>
      </c>
      <c r="H22" s="19" t="s">
        <v>85</v>
      </c>
      <c r="I22">
        <f t="shared" si="0"/>
        <v>1</v>
      </c>
      <c r="J22">
        <f t="shared" si="1"/>
        <v>0</v>
      </c>
      <c r="K22">
        <f t="shared" si="2"/>
        <v>1</v>
      </c>
    </row>
    <row r="23" spans="1:11">
      <c r="A23" t="s">
        <v>81</v>
      </c>
      <c r="B23" s="20" t="s">
        <v>86</v>
      </c>
      <c r="C23" s="18">
        <v>-0.0849230354580771</v>
      </c>
      <c r="D23" s="18">
        <v>-0.350848750718898</v>
      </c>
      <c r="E23" s="18">
        <v>-0.0126233697796621</v>
      </c>
      <c r="F23" s="19" t="s">
        <v>87</v>
      </c>
      <c r="G23" s="18">
        <v>-0.416087399473104</v>
      </c>
      <c r="H23" s="19" t="s">
        <v>88</v>
      </c>
      <c r="I23">
        <f t="shared" si="0"/>
        <v>1</v>
      </c>
      <c r="J23">
        <f t="shared" si="1"/>
        <v>0</v>
      </c>
      <c r="K23">
        <f t="shared" si="2"/>
        <v>1</v>
      </c>
    </row>
    <row r="24" spans="1:11">
      <c r="A24" t="s">
        <v>81</v>
      </c>
      <c r="B24" s="20" t="s">
        <v>89</v>
      </c>
      <c r="C24" s="18">
        <v>-0.178434871578425</v>
      </c>
      <c r="D24" s="18">
        <v>-0.416195228906404</v>
      </c>
      <c r="E24" s="18">
        <v>-0.0819198839627051</v>
      </c>
      <c r="F24" s="19" t="s">
        <v>90</v>
      </c>
      <c r="G24" s="18">
        <v>-0.341440336604106</v>
      </c>
      <c r="H24" s="19" t="s">
        <v>91</v>
      </c>
      <c r="I24">
        <f t="shared" si="0"/>
        <v>1</v>
      </c>
      <c r="J24">
        <f t="shared" si="1"/>
        <v>1</v>
      </c>
      <c r="K24">
        <f t="shared" si="2"/>
        <v>1</v>
      </c>
    </row>
    <row r="25" spans="1:11">
      <c r="A25" t="s">
        <v>81</v>
      </c>
      <c r="B25" s="20" t="s">
        <v>92</v>
      </c>
      <c r="C25" s="19" t="s">
        <v>93</v>
      </c>
      <c r="D25" s="18">
        <v>-0.168671667558339</v>
      </c>
      <c r="E25" s="19" t="s">
        <v>94</v>
      </c>
      <c r="F25" s="19" t="s">
        <v>95</v>
      </c>
      <c r="G25" s="18">
        <v>-0.352276959444643</v>
      </c>
      <c r="H25" s="19" t="s">
        <v>96</v>
      </c>
      <c r="I25">
        <f t="shared" si="0"/>
        <v>1</v>
      </c>
      <c r="J25">
        <f t="shared" si="1"/>
        <v>0</v>
      </c>
      <c r="K25">
        <f t="shared" si="2"/>
        <v>1</v>
      </c>
    </row>
    <row r="26" spans="1:11">
      <c r="A26" t="s">
        <v>81</v>
      </c>
      <c r="B26">
        <v>300498</v>
      </c>
      <c r="C26" s="19" t="s">
        <v>97</v>
      </c>
      <c r="D26" s="18">
        <v>-0.284259030236994</v>
      </c>
      <c r="E26" s="19" t="s">
        <v>98</v>
      </c>
      <c r="F26" s="19" t="s">
        <v>99</v>
      </c>
      <c r="G26" s="18">
        <v>-0.483956001072696</v>
      </c>
      <c r="H26" s="19" t="s">
        <v>100</v>
      </c>
      <c r="I26">
        <f t="shared" si="0"/>
        <v>1</v>
      </c>
      <c r="J26">
        <f t="shared" si="1"/>
        <v>0</v>
      </c>
      <c r="K26">
        <f t="shared" si="2"/>
        <v>1</v>
      </c>
    </row>
    <row r="27" spans="1:11">
      <c r="A27" t="s">
        <v>81</v>
      </c>
      <c r="B27" s="20" t="s">
        <v>101</v>
      </c>
      <c r="C27" s="18">
        <v>-0.258750219158943</v>
      </c>
      <c r="D27" s="18">
        <v>-0.405106736607127</v>
      </c>
      <c r="E27" s="18">
        <v>-0.208864994517703</v>
      </c>
      <c r="F27" s="19" t="s">
        <v>102</v>
      </c>
      <c r="G27" s="18">
        <v>-0.56079726477686</v>
      </c>
      <c r="H27" s="19" t="s">
        <v>103</v>
      </c>
      <c r="I27">
        <f t="shared" si="0"/>
        <v>1</v>
      </c>
      <c r="J27">
        <f t="shared" si="1"/>
        <v>0</v>
      </c>
      <c r="K27">
        <f t="shared" si="2"/>
        <v>1</v>
      </c>
    </row>
    <row r="28" spans="1:11">
      <c r="A28" t="s">
        <v>81</v>
      </c>
      <c r="B28" s="20" t="s">
        <v>104</v>
      </c>
      <c r="C28" s="19" t="s">
        <v>105</v>
      </c>
      <c r="D28" s="18">
        <v>-0.240552652853782</v>
      </c>
      <c r="E28" s="19" t="s">
        <v>106</v>
      </c>
      <c r="F28" s="19" t="s">
        <v>107</v>
      </c>
      <c r="G28" s="18">
        <v>-0.483305709097396</v>
      </c>
      <c r="H28" s="19" t="s">
        <v>108</v>
      </c>
      <c r="I28">
        <f t="shared" si="0"/>
        <v>1</v>
      </c>
      <c r="J28">
        <f t="shared" si="1"/>
        <v>0</v>
      </c>
      <c r="K28">
        <f t="shared" si="2"/>
        <v>1</v>
      </c>
    </row>
    <row r="29" spans="1:11">
      <c r="A29" t="s">
        <v>81</v>
      </c>
      <c r="B29" s="20" t="s">
        <v>109</v>
      </c>
      <c r="C29" s="18">
        <v>-0.0554040415792478</v>
      </c>
      <c r="D29" s="18">
        <v>-0.28294140795916</v>
      </c>
      <c r="E29" s="19" t="s">
        <v>110</v>
      </c>
      <c r="F29" s="19" t="s">
        <v>111</v>
      </c>
      <c r="G29" s="18">
        <v>-0.253185817878171</v>
      </c>
      <c r="H29" s="19" t="s">
        <v>112</v>
      </c>
      <c r="I29">
        <f t="shared" si="0"/>
        <v>1</v>
      </c>
      <c r="J29">
        <f t="shared" si="1"/>
        <v>1</v>
      </c>
      <c r="K29">
        <f t="shared" si="2"/>
        <v>1</v>
      </c>
    </row>
    <row r="30" spans="1:11">
      <c r="A30" t="s">
        <v>81</v>
      </c>
      <c r="B30" s="20" t="s">
        <v>113</v>
      </c>
      <c r="C30" s="18">
        <v>-0.192491987936124</v>
      </c>
      <c r="D30" s="18">
        <v>-0.422370685111257</v>
      </c>
      <c r="E30" s="18">
        <v>-0.0816967980452783</v>
      </c>
      <c r="F30" s="19" t="s">
        <v>114</v>
      </c>
      <c r="G30" s="18">
        <v>-0.437805689666546</v>
      </c>
      <c r="H30" s="19" t="s">
        <v>115</v>
      </c>
      <c r="I30">
        <f t="shared" si="0"/>
        <v>1</v>
      </c>
      <c r="J30">
        <f t="shared" si="1"/>
        <v>0</v>
      </c>
      <c r="K30">
        <f t="shared" si="2"/>
        <v>1</v>
      </c>
    </row>
    <row r="31" spans="1:11">
      <c r="A31" t="s">
        <v>81</v>
      </c>
      <c r="B31" s="20" t="s">
        <v>116</v>
      </c>
      <c r="C31" s="18">
        <v>-0.308049281546115</v>
      </c>
      <c r="D31" s="18">
        <v>-0.465228874048441</v>
      </c>
      <c r="E31" s="18">
        <v>-0.408171897739695</v>
      </c>
      <c r="F31" s="19" t="s">
        <v>117</v>
      </c>
      <c r="G31" s="18">
        <v>-0.45951132450188</v>
      </c>
      <c r="H31" s="19" t="s">
        <v>118</v>
      </c>
      <c r="I31">
        <f t="shared" si="0"/>
        <v>1</v>
      </c>
      <c r="J31">
        <f t="shared" si="1"/>
        <v>1</v>
      </c>
      <c r="K31">
        <f t="shared" si="2"/>
        <v>1</v>
      </c>
    </row>
    <row r="32" spans="1:11">
      <c r="A32" t="s">
        <v>81</v>
      </c>
      <c r="B32" s="20" t="s">
        <v>119</v>
      </c>
      <c r="C32" s="19" t="s">
        <v>120</v>
      </c>
      <c r="D32" s="18">
        <v>-0.303566600714822</v>
      </c>
      <c r="E32" s="19" t="s">
        <v>121</v>
      </c>
      <c r="F32" s="19" t="s">
        <v>122</v>
      </c>
      <c r="G32" s="18">
        <v>-0.403127455027546</v>
      </c>
      <c r="H32" s="19" t="s">
        <v>123</v>
      </c>
      <c r="I32">
        <f t="shared" si="0"/>
        <v>1</v>
      </c>
      <c r="J32">
        <f t="shared" si="1"/>
        <v>0</v>
      </c>
      <c r="K32">
        <f t="shared" si="2"/>
        <v>1</v>
      </c>
    </row>
    <row r="33" spans="1:11">
      <c r="A33" t="s">
        <v>81</v>
      </c>
      <c r="B33" s="20" t="s">
        <v>124</v>
      </c>
      <c r="C33" s="18">
        <v>-0.0695978966730084</v>
      </c>
      <c r="D33" s="18">
        <v>-0.320229417057458</v>
      </c>
      <c r="E33" s="19" t="s">
        <v>125</v>
      </c>
      <c r="F33" s="19" t="s">
        <v>126</v>
      </c>
      <c r="G33" s="18">
        <v>-0.429345925244984</v>
      </c>
      <c r="H33" s="19" t="s">
        <v>127</v>
      </c>
      <c r="I33">
        <f t="shared" si="0"/>
        <v>1</v>
      </c>
      <c r="J33">
        <f t="shared" si="1"/>
        <v>0</v>
      </c>
      <c r="K33">
        <f t="shared" si="2"/>
        <v>1</v>
      </c>
    </row>
    <row r="34" spans="1:11">
      <c r="A34" t="s">
        <v>81</v>
      </c>
      <c r="B34" s="20" t="s">
        <v>128</v>
      </c>
      <c r="C34" s="19" t="s">
        <v>129</v>
      </c>
      <c r="D34" s="18">
        <v>-0.283383852118838</v>
      </c>
      <c r="E34" s="19" t="s">
        <v>130</v>
      </c>
      <c r="F34" s="19" t="s">
        <v>131</v>
      </c>
      <c r="G34" s="18">
        <v>-0.318196679281061</v>
      </c>
      <c r="H34" s="19" t="s">
        <v>132</v>
      </c>
      <c r="I34">
        <f t="shared" si="0"/>
        <v>1</v>
      </c>
      <c r="J34">
        <f t="shared" si="1"/>
        <v>0</v>
      </c>
      <c r="K34">
        <f t="shared" si="2"/>
        <v>1</v>
      </c>
    </row>
    <row r="35" spans="1:11">
      <c r="A35" t="s">
        <v>81</v>
      </c>
      <c r="B35" s="20" t="s">
        <v>133</v>
      </c>
      <c r="C35" s="18">
        <v>-0.395101895778404</v>
      </c>
      <c r="D35" s="18">
        <v>-0.453218317044249</v>
      </c>
      <c r="E35" s="18">
        <v>-0.514401560837788</v>
      </c>
      <c r="F35" s="19" t="s">
        <v>134</v>
      </c>
      <c r="G35" s="18">
        <v>-0.381716070584213</v>
      </c>
      <c r="H35" s="19" t="s">
        <v>135</v>
      </c>
      <c r="I35">
        <f t="shared" ref="I35:I61" si="3">IF(F35&gt;C35,1,0)</f>
        <v>1</v>
      </c>
      <c r="J35">
        <f t="shared" ref="J35:J61" si="4">IF(G35&gt;D35,1,0)</f>
        <v>1</v>
      </c>
      <c r="K35">
        <f t="shared" ref="K35:K61" si="5">IF(H35&gt;E35,1,0)</f>
        <v>1</v>
      </c>
    </row>
    <row r="36" spans="1:11">
      <c r="A36" t="s">
        <v>81</v>
      </c>
      <c r="B36" s="20" t="s">
        <v>136</v>
      </c>
      <c r="C36" s="19" t="s">
        <v>137</v>
      </c>
      <c r="D36" s="18">
        <v>-0.287667641480716</v>
      </c>
      <c r="E36" s="19" t="s">
        <v>138</v>
      </c>
      <c r="F36" s="19" t="s">
        <v>139</v>
      </c>
      <c r="G36" s="18">
        <v>-0.261608949963664</v>
      </c>
      <c r="H36" s="19" t="s">
        <v>140</v>
      </c>
      <c r="I36">
        <f t="shared" si="3"/>
        <v>1</v>
      </c>
      <c r="J36">
        <f t="shared" si="4"/>
        <v>1</v>
      </c>
      <c r="K36">
        <f t="shared" si="5"/>
        <v>1</v>
      </c>
    </row>
    <row r="37" spans="1:11">
      <c r="A37" t="s">
        <v>81</v>
      </c>
      <c r="B37" s="20" t="s">
        <v>141</v>
      </c>
      <c r="C37" s="19" t="s">
        <v>142</v>
      </c>
      <c r="D37" s="18">
        <v>-0.471266235181302</v>
      </c>
      <c r="E37" s="19" t="s">
        <v>143</v>
      </c>
      <c r="F37" s="19" t="s">
        <v>144</v>
      </c>
      <c r="G37" s="18">
        <v>-0.573171804455474</v>
      </c>
      <c r="H37" s="19" t="s">
        <v>145</v>
      </c>
      <c r="I37">
        <f t="shared" si="3"/>
        <v>1</v>
      </c>
      <c r="J37">
        <f t="shared" si="4"/>
        <v>0</v>
      </c>
      <c r="K37">
        <f t="shared" si="5"/>
        <v>1</v>
      </c>
    </row>
    <row r="38" spans="1:11">
      <c r="A38" t="s">
        <v>81</v>
      </c>
      <c r="B38" s="20" t="s">
        <v>146</v>
      </c>
      <c r="C38" s="19" t="s">
        <v>147</v>
      </c>
      <c r="D38" s="18">
        <v>-0.290705125449854</v>
      </c>
      <c r="E38" s="19" t="s">
        <v>148</v>
      </c>
      <c r="F38" s="19" t="s">
        <v>149</v>
      </c>
      <c r="G38" s="18">
        <v>-0.482473740014591</v>
      </c>
      <c r="H38" s="19" t="s">
        <v>150</v>
      </c>
      <c r="I38">
        <f t="shared" si="3"/>
        <v>1</v>
      </c>
      <c r="J38">
        <f t="shared" si="4"/>
        <v>0</v>
      </c>
      <c r="K38">
        <f t="shared" si="5"/>
        <v>1</v>
      </c>
    </row>
    <row r="39" spans="1:11">
      <c r="A39" t="s">
        <v>81</v>
      </c>
      <c r="B39" s="20" t="s">
        <v>151</v>
      </c>
      <c r="C39" s="19" t="s">
        <v>152</v>
      </c>
      <c r="D39" s="18">
        <v>-0.31122355279181</v>
      </c>
      <c r="E39" s="19" t="s">
        <v>153</v>
      </c>
      <c r="F39" s="19" t="s">
        <v>154</v>
      </c>
      <c r="G39" s="18">
        <v>-0.407905440750538</v>
      </c>
      <c r="H39" s="19" t="s">
        <v>155</v>
      </c>
      <c r="I39">
        <f t="shared" si="3"/>
        <v>1</v>
      </c>
      <c r="J39">
        <f t="shared" si="4"/>
        <v>0</v>
      </c>
      <c r="K39">
        <f t="shared" si="5"/>
        <v>1</v>
      </c>
    </row>
    <row r="40" spans="1:11">
      <c r="A40" t="s">
        <v>81</v>
      </c>
      <c r="B40" s="20" t="s">
        <v>156</v>
      </c>
      <c r="C40" s="18">
        <v>-0.26027233389679</v>
      </c>
      <c r="D40" s="18">
        <v>-0.416365346516056</v>
      </c>
      <c r="E40" s="18">
        <v>-0.118092662121578</v>
      </c>
      <c r="F40" s="19" t="s">
        <v>157</v>
      </c>
      <c r="G40" s="18">
        <v>-0.507295483456106</v>
      </c>
      <c r="H40" s="19" t="s">
        <v>158</v>
      </c>
      <c r="I40">
        <f t="shared" si="3"/>
        <v>1</v>
      </c>
      <c r="J40">
        <f t="shared" si="4"/>
        <v>0</v>
      </c>
      <c r="K40">
        <f t="shared" si="5"/>
        <v>1</v>
      </c>
    </row>
    <row r="41" spans="1:11">
      <c r="A41" t="s">
        <v>81</v>
      </c>
      <c r="B41" s="20" t="s">
        <v>159</v>
      </c>
      <c r="C41" s="18">
        <v>-0.156355432308</v>
      </c>
      <c r="D41" s="18">
        <v>-0.337820887415975</v>
      </c>
      <c r="E41" s="18">
        <v>-0.0747082289080491</v>
      </c>
      <c r="F41" s="19" t="s">
        <v>160</v>
      </c>
      <c r="G41" s="18">
        <v>-0.308727714820845</v>
      </c>
      <c r="H41" s="19" t="s">
        <v>161</v>
      </c>
      <c r="I41">
        <f t="shared" si="3"/>
        <v>1</v>
      </c>
      <c r="J41">
        <f t="shared" si="4"/>
        <v>1</v>
      </c>
      <c r="K41">
        <f t="shared" si="5"/>
        <v>1</v>
      </c>
    </row>
    <row r="42" spans="1:11">
      <c r="A42" t="s">
        <v>162</v>
      </c>
      <c r="B42">
        <v>688981</v>
      </c>
      <c r="C42" s="19" t="s">
        <v>163</v>
      </c>
      <c r="D42" s="18">
        <v>-0.290191999696658</v>
      </c>
      <c r="E42" s="19" t="s">
        <v>164</v>
      </c>
      <c r="F42" s="19" t="s">
        <v>165</v>
      </c>
      <c r="G42" s="18">
        <v>-0.316884704450875</v>
      </c>
      <c r="H42" s="19" t="s">
        <v>166</v>
      </c>
      <c r="I42">
        <f t="shared" si="3"/>
        <v>1</v>
      </c>
      <c r="J42">
        <f t="shared" si="4"/>
        <v>0</v>
      </c>
      <c r="K42">
        <f t="shared" si="5"/>
        <v>1</v>
      </c>
    </row>
    <row r="43" spans="1:11">
      <c r="A43" t="s">
        <v>162</v>
      </c>
      <c r="B43">
        <v>688012</v>
      </c>
      <c r="C43" s="19" t="s">
        <v>167</v>
      </c>
      <c r="D43" s="18">
        <v>-0.420550670918171</v>
      </c>
      <c r="E43" s="19" t="s">
        <v>168</v>
      </c>
      <c r="F43" s="19" t="s">
        <v>169</v>
      </c>
      <c r="G43" s="18">
        <v>-0.483064597632265</v>
      </c>
      <c r="H43" s="19" t="s">
        <v>170</v>
      </c>
      <c r="I43">
        <f t="shared" si="3"/>
        <v>1</v>
      </c>
      <c r="J43">
        <f t="shared" si="4"/>
        <v>0</v>
      </c>
      <c r="K43">
        <f t="shared" si="5"/>
        <v>1</v>
      </c>
    </row>
    <row r="44" spans="1:11">
      <c r="A44" t="s">
        <v>162</v>
      </c>
      <c r="B44">
        <v>688036</v>
      </c>
      <c r="C44" s="18">
        <v>-0.0180693346307636</v>
      </c>
      <c r="D44" s="18">
        <v>-0.374673512131029</v>
      </c>
      <c r="E44" s="19" t="s">
        <v>171</v>
      </c>
      <c r="F44" s="19" t="s">
        <v>172</v>
      </c>
      <c r="G44" s="18">
        <v>-0.490869500248152</v>
      </c>
      <c r="H44" s="19" t="s">
        <v>173</v>
      </c>
      <c r="I44">
        <f t="shared" si="3"/>
        <v>1</v>
      </c>
      <c r="J44">
        <f t="shared" si="4"/>
        <v>0</v>
      </c>
      <c r="K44">
        <f t="shared" si="5"/>
        <v>1</v>
      </c>
    </row>
    <row r="45" spans="1:11">
      <c r="A45" t="s">
        <v>162</v>
      </c>
      <c r="B45">
        <v>688111</v>
      </c>
      <c r="C45" s="19" t="s">
        <v>174</v>
      </c>
      <c r="D45" s="18">
        <v>-0.502152712760447</v>
      </c>
      <c r="E45" s="19" t="s">
        <v>175</v>
      </c>
      <c r="F45" s="19" t="s">
        <v>176</v>
      </c>
      <c r="G45" s="18">
        <v>-0.493325989697357</v>
      </c>
      <c r="H45" s="19" t="s">
        <v>177</v>
      </c>
      <c r="I45">
        <f t="shared" si="3"/>
        <v>1</v>
      </c>
      <c r="J45">
        <f t="shared" si="4"/>
        <v>1</v>
      </c>
      <c r="K45">
        <f t="shared" si="5"/>
        <v>1</v>
      </c>
    </row>
    <row r="46" spans="1:11">
      <c r="A46" t="s">
        <v>162</v>
      </c>
      <c r="B46">
        <v>688008</v>
      </c>
      <c r="C46" s="19" t="s">
        <v>178</v>
      </c>
      <c r="D46" s="18">
        <v>-0.457993260942926</v>
      </c>
      <c r="E46" s="19" t="s">
        <v>179</v>
      </c>
      <c r="F46" s="19" t="s">
        <v>180</v>
      </c>
      <c r="G46" s="18">
        <v>-0.433598927095943</v>
      </c>
      <c r="H46" s="19" t="s">
        <v>181</v>
      </c>
      <c r="I46">
        <f t="shared" si="3"/>
        <v>1</v>
      </c>
      <c r="J46">
        <f t="shared" si="4"/>
        <v>1</v>
      </c>
      <c r="K46">
        <f t="shared" si="5"/>
        <v>1</v>
      </c>
    </row>
    <row r="47" spans="1:11">
      <c r="A47" t="s">
        <v>162</v>
      </c>
      <c r="B47">
        <v>688256</v>
      </c>
      <c r="C47" s="19" t="s">
        <v>182</v>
      </c>
      <c r="D47" s="18">
        <v>-0.526918766614338</v>
      </c>
      <c r="E47" s="19" t="s">
        <v>183</v>
      </c>
      <c r="F47" s="19" t="s">
        <v>184</v>
      </c>
      <c r="G47" s="18">
        <v>-0.702085217824774</v>
      </c>
      <c r="H47" s="19" t="s">
        <v>185</v>
      </c>
      <c r="I47">
        <f t="shared" si="3"/>
        <v>1</v>
      </c>
      <c r="J47">
        <f t="shared" si="4"/>
        <v>0</v>
      </c>
      <c r="K47">
        <f t="shared" si="5"/>
        <v>1</v>
      </c>
    </row>
    <row r="48" spans="1:11">
      <c r="A48" t="s">
        <v>162</v>
      </c>
      <c r="B48">
        <v>688041</v>
      </c>
      <c r="C48" s="19" t="s">
        <v>186</v>
      </c>
      <c r="D48" s="18">
        <v>-0.548526145868545</v>
      </c>
      <c r="E48" s="19" t="s">
        <v>187</v>
      </c>
      <c r="F48" s="19" t="s">
        <v>188</v>
      </c>
      <c r="G48" s="18">
        <v>-0.647612712024372</v>
      </c>
      <c r="H48" s="19" t="s">
        <v>189</v>
      </c>
      <c r="I48">
        <f t="shared" si="3"/>
        <v>1</v>
      </c>
      <c r="J48">
        <f t="shared" si="4"/>
        <v>0</v>
      </c>
      <c r="K48">
        <f t="shared" si="5"/>
        <v>1</v>
      </c>
    </row>
    <row r="49" spans="1:11">
      <c r="A49" t="s">
        <v>162</v>
      </c>
      <c r="B49">
        <v>688187</v>
      </c>
      <c r="C49" s="18">
        <v>-0.180848516410866</v>
      </c>
      <c r="D49" s="18">
        <v>-0.540030948627175</v>
      </c>
      <c r="E49" s="18">
        <v>-0.0104518077058585</v>
      </c>
      <c r="F49" s="19" t="s">
        <v>190</v>
      </c>
      <c r="G49" s="18">
        <v>-0.441139424838177</v>
      </c>
      <c r="H49" s="19" t="s">
        <v>191</v>
      </c>
      <c r="I49">
        <f t="shared" si="3"/>
        <v>1</v>
      </c>
      <c r="J49">
        <f t="shared" si="4"/>
        <v>1</v>
      </c>
      <c r="K49">
        <f t="shared" si="5"/>
        <v>1</v>
      </c>
    </row>
    <row r="50" spans="1:11">
      <c r="A50" t="s">
        <v>162</v>
      </c>
      <c r="B50">
        <v>688063</v>
      </c>
      <c r="C50" s="19" t="s">
        <v>192</v>
      </c>
      <c r="D50" s="18">
        <v>-0.766615299980287</v>
      </c>
      <c r="E50" s="19" t="s">
        <v>193</v>
      </c>
      <c r="F50" s="19" t="s">
        <v>194</v>
      </c>
      <c r="G50" s="18">
        <v>-0.727004614667291</v>
      </c>
      <c r="H50" s="19" t="s">
        <v>195</v>
      </c>
      <c r="I50">
        <f t="shared" si="3"/>
        <v>1</v>
      </c>
      <c r="J50">
        <f t="shared" si="4"/>
        <v>1</v>
      </c>
      <c r="K50">
        <f t="shared" si="5"/>
        <v>1</v>
      </c>
    </row>
    <row r="51" spans="1:11">
      <c r="A51" t="s">
        <v>162</v>
      </c>
      <c r="B51">
        <v>688271</v>
      </c>
      <c r="C51" s="18">
        <v>-0.174016957691721</v>
      </c>
      <c r="D51" s="18">
        <v>-0.353115000473906</v>
      </c>
      <c r="E51" s="18">
        <v>-0.109247196483711</v>
      </c>
      <c r="F51" s="19" t="s">
        <v>196</v>
      </c>
      <c r="G51" s="18">
        <v>-0.402011281715453</v>
      </c>
      <c r="H51" s="19" t="s">
        <v>197</v>
      </c>
      <c r="I51">
        <f t="shared" si="3"/>
        <v>1</v>
      </c>
      <c r="J51">
        <f t="shared" si="4"/>
        <v>0</v>
      </c>
      <c r="K51">
        <f t="shared" si="5"/>
        <v>1</v>
      </c>
    </row>
    <row r="52" spans="1:11">
      <c r="A52" t="s">
        <v>162</v>
      </c>
      <c r="B52">
        <v>688114</v>
      </c>
      <c r="C52" s="18">
        <v>-0.194446163997782</v>
      </c>
      <c r="D52" s="18">
        <v>-0.413365004284699</v>
      </c>
      <c r="E52" s="18">
        <v>-0.0296330558945989</v>
      </c>
      <c r="F52" s="19" t="s">
        <v>198</v>
      </c>
      <c r="G52" s="18">
        <v>-0.380839647580763</v>
      </c>
      <c r="H52" s="19" t="s">
        <v>199</v>
      </c>
      <c r="I52">
        <f t="shared" si="3"/>
        <v>1</v>
      </c>
      <c r="J52">
        <f t="shared" si="4"/>
        <v>1</v>
      </c>
      <c r="K52">
        <f t="shared" si="5"/>
        <v>1</v>
      </c>
    </row>
    <row r="53" spans="1:11">
      <c r="A53" t="s">
        <v>162</v>
      </c>
      <c r="B53">
        <v>688009</v>
      </c>
      <c r="C53" s="19" t="s">
        <v>200</v>
      </c>
      <c r="D53" s="18">
        <v>-0.229091920353956</v>
      </c>
      <c r="E53" s="19" t="s">
        <v>201</v>
      </c>
      <c r="F53" s="19" t="s">
        <v>202</v>
      </c>
      <c r="G53" s="18">
        <v>-0.298196470228228</v>
      </c>
      <c r="H53" s="19" t="s">
        <v>203</v>
      </c>
      <c r="I53">
        <f t="shared" si="3"/>
        <v>1</v>
      </c>
      <c r="J53">
        <f t="shared" si="4"/>
        <v>0</v>
      </c>
      <c r="K53">
        <f t="shared" si="5"/>
        <v>1</v>
      </c>
    </row>
    <row r="54" spans="1:11">
      <c r="A54" t="s">
        <v>162</v>
      </c>
      <c r="B54">
        <v>688599</v>
      </c>
      <c r="C54" s="18">
        <v>-0.0894998921736254</v>
      </c>
      <c r="D54" s="18">
        <v>-0.511952892495667</v>
      </c>
      <c r="E54" s="19" t="s">
        <v>204</v>
      </c>
      <c r="F54" s="19" t="s">
        <v>205</v>
      </c>
      <c r="G54" s="18">
        <v>-0.599578632994808</v>
      </c>
      <c r="H54" s="19" t="s">
        <v>206</v>
      </c>
      <c r="I54">
        <f t="shared" si="3"/>
        <v>1</v>
      </c>
      <c r="J54">
        <f t="shared" si="4"/>
        <v>0</v>
      </c>
      <c r="K54">
        <f t="shared" si="5"/>
        <v>1</v>
      </c>
    </row>
    <row r="55" spans="1:11">
      <c r="A55" t="s">
        <v>162</v>
      </c>
      <c r="B55">
        <v>688208</v>
      </c>
      <c r="C55" s="18">
        <v>-0.0549527214217709</v>
      </c>
      <c r="D55" s="18">
        <v>-0.541254621676963</v>
      </c>
      <c r="E55" s="19" t="s">
        <v>207</v>
      </c>
      <c r="F55" s="19" t="s">
        <v>208</v>
      </c>
      <c r="G55" s="18">
        <v>-0.554045841225046</v>
      </c>
      <c r="H55" s="19" t="s">
        <v>209</v>
      </c>
      <c r="I55">
        <f t="shared" si="3"/>
        <v>1</v>
      </c>
      <c r="J55">
        <f t="shared" si="4"/>
        <v>0</v>
      </c>
      <c r="K55">
        <f t="shared" si="5"/>
        <v>1</v>
      </c>
    </row>
    <row r="56" spans="1:11">
      <c r="A56" t="s">
        <v>162</v>
      </c>
      <c r="B56">
        <v>688002</v>
      </c>
      <c r="C56" s="19" t="s">
        <v>210</v>
      </c>
      <c r="D56" s="18">
        <v>-0.479201184074008</v>
      </c>
      <c r="E56" s="19" t="s">
        <v>211</v>
      </c>
      <c r="F56" s="19" t="s">
        <v>212</v>
      </c>
      <c r="G56" s="18">
        <v>-0.350646573015408</v>
      </c>
      <c r="H56" s="19" t="s">
        <v>213</v>
      </c>
      <c r="I56">
        <f t="shared" si="3"/>
        <v>1</v>
      </c>
      <c r="J56">
        <f t="shared" si="4"/>
        <v>1</v>
      </c>
      <c r="K56">
        <f t="shared" si="5"/>
        <v>1</v>
      </c>
    </row>
    <row r="57" spans="1:11">
      <c r="A57" t="s">
        <v>162</v>
      </c>
      <c r="B57">
        <v>688126</v>
      </c>
      <c r="C57" s="19" t="s">
        <v>214</v>
      </c>
      <c r="D57" s="18">
        <v>-0.428653245055649</v>
      </c>
      <c r="E57" s="19" t="s">
        <v>215</v>
      </c>
      <c r="F57" s="19" t="s">
        <v>216</v>
      </c>
      <c r="G57" s="18">
        <v>-0.44085108974409</v>
      </c>
      <c r="H57" s="19" t="s">
        <v>217</v>
      </c>
      <c r="I57">
        <f t="shared" si="3"/>
        <v>1</v>
      </c>
      <c r="J57">
        <f t="shared" si="4"/>
        <v>0</v>
      </c>
      <c r="K57">
        <f t="shared" si="5"/>
        <v>1</v>
      </c>
    </row>
    <row r="58" spans="1:11">
      <c r="A58" t="s">
        <v>162</v>
      </c>
      <c r="B58">
        <v>688220</v>
      </c>
      <c r="C58" s="19" t="s">
        <v>218</v>
      </c>
      <c r="D58" s="18">
        <v>-0.36983337039223</v>
      </c>
      <c r="E58" s="19" t="s">
        <v>219</v>
      </c>
      <c r="F58" s="19" t="s">
        <v>220</v>
      </c>
      <c r="G58" s="18">
        <v>-0.440049843020402</v>
      </c>
      <c r="H58" s="19" t="s">
        <v>221</v>
      </c>
      <c r="I58">
        <f t="shared" si="3"/>
        <v>1</v>
      </c>
      <c r="J58">
        <f t="shared" si="4"/>
        <v>0</v>
      </c>
      <c r="K58">
        <f t="shared" si="5"/>
        <v>1</v>
      </c>
    </row>
    <row r="59" spans="1:11">
      <c r="A59" t="s">
        <v>162</v>
      </c>
      <c r="B59">
        <v>688037</v>
      </c>
      <c r="C59" s="19" t="s">
        <v>222</v>
      </c>
      <c r="D59" s="18">
        <v>-0.525592322123931</v>
      </c>
      <c r="E59" s="19" t="s">
        <v>223</v>
      </c>
      <c r="F59" s="19" t="s">
        <v>224</v>
      </c>
      <c r="G59" s="18">
        <v>-0.623320498879418</v>
      </c>
      <c r="H59" s="19" t="s">
        <v>225</v>
      </c>
      <c r="I59">
        <f t="shared" si="3"/>
        <v>1</v>
      </c>
      <c r="J59">
        <f t="shared" si="4"/>
        <v>0</v>
      </c>
      <c r="K59">
        <f t="shared" si="5"/>
        <v>1</v>
      </c>
    </row>
    <row r="60" spans="1:11">
      <c r="A60" t="s">
        <v>162</v>
      </c>
      <c r="B60">
        <v>688052</v>
      </c>
      <c r="C60" s="19" t="s">
        <v>226</v>
      </c>
      <c r="D60" s="18">
        <v>-0.47437156089602</v>
      </c>
      <c r="E60" s="19" t="s">
        <v>227</v>
      </c>
      <c r="F60" s="19" t="s">
        <v>228</v>
      </c>
      <c r="G60" s="18">
        <v>-0.510996625316793</v>
      </c>
      <c r="H60" s="19" t="s">
        <v>229</v>
      </c>
      <c r="I60">
        <f t="shared" si="3"/>
        <v>1</v>
      </c>
      <c r="J60">
        <f t="shared" si="4"/>
        <v>0</v>
      </c>
      <c r="K60">
        <f t="shared" si="5"/>
        <v>1</v>
      </c>
    </row>
    <row r="61" spans="1:11">
      <c r="A61" t="s">
        <v>162</v>
      </c>
      <c r="B61">
        <v>688303</v>
      </c>
      <c r="C61" s="19" t="s">
        <v>230</v>
      </c>
      <c r="D61" s="18">
        <v>-0.441342150642308</v>
      </c>
      <c r="E61" s="19" t="s">
        <v>231</v>
      </c>
      <c r="F61" s="19" t="s">
        <v>232</v>
      </c>
      <c r="G61" s="18">
        <v>-0.452503736465971</v>
      </c>
      <c r="H61" s="19" t="s">
        <v>233</v>
      </c>
      <c r="I61">
        <f t="shared" si="3"/>
        <v>1</v>
      </c>
      <c r="J61">
        <f t="shared" si="4"/>
        <v>0</v>
      </c>
      <c r="K61">
        <f t="shared" si="5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34" sqref="E34"/>
    </sheetView>
  </sheetViews>
  <sheetFormatPr defaultColWidth="9.23076923076923" defaultRowHeight="16.8" outlineLevelCol="5"/>
  <cols>
    <col min="1" max="2" width="13.6153846153846"/>
    <col min="3" max="4" width="10.4615384615385"/>
    <col min="5" max="5" width="12.9230769230769"/>
  </cols>
  <sheetData>
    <row r="1" ht="17.55" spans="1:6">
      <c r="A1" s="10" t="s">
        <v>234</v>
      </c>
      <c r="B1" s="10" t="s">
        <v>235</v>
      </c>
      <c r="C1" s="11" t="s">
        <v>236</v>
      </c>
      <c r="D1" s="11" t="s">
        <v>237</v>
      </c>
      <c r="E1" s="11" t="s">
        <v>238</v>
      </c>
      <c r="F1" s="11" t="s">
        <v>239</v>
      </c>
    </row>
    <row r="2" ht="21.15" spans="1:6">
      <c r="A2" s="12">
        <v>44641</v>
      </c>
      <c r="B2" s="12">
        <v>44673</v>
      </c>
      <c r="C2" s="13">
        <v>186.79</v>
      </c>
      <c r="D2" s="13">
        <v>216.38</v>
      </c>
      <c r="E2" s="14">
        <v>29.59</v>
      </c>
      <c r="F2" s="15">
        <v>0.1584</v>
      </c>
    </row>
    <row r="3" ht="21.15" spans="1:6">
      <c r="A3" s="12">
        <v>44679</v>
      </c>
      <c r="B3" s="12">
        <v>44753</v>
      </c>
      <c r="C3" s="13">
        <v>231.9</v>
      </c>
      <c r="D3" s="13">
        <v>346.34</v>
      </c>
      <c r="E3" s="14">
        <v>114.44</v>
      </c>
      <c r="F3" s="15">
        <v>0.4935</v>
      </c>
    </row>
    <row r="4" ht="21.15" spans="1:6">
      <c r="A4" s="12">
        <v>44764</v>
      </c>
      <c r="B4" s="12">
        <v>44771</v>
      </c>
      <c r="C4" s="13">
        <v>369.27</v>
      </c>
      <c r="D4" s="13">
        <v>345</v>
      </c>
      <c r="E4" s="16">
        <v>-24.27</v>
      </c>
      <c r="F4" s="17">
        <v>-0.0657</v>
      </c>
    </row>
    <row r="5" ht="21.15" spans="1:6">
      <c r="A5" s="12">
        <v>44799</v>
      </c>
      <c r="B5" s="12">
        <v>44823</v>
      </c>
      <c r="C5" s="13">
        <v>368.22</v>
      </c>
      <c r="D5" s="13">
        <v>349.74</v>
      </c>
      <c r="E5" s="16">
        <v>-18.48</v>
      </c>
      <c r="F5" s="17">
        <v>-0.0502</v>
      </c>
    </row>
    <row r="6" ht="21.15" spans="1:6">
      <c r="A6" s="12">
        <v>44834</v>
      </c>
      <c r="B6" s="12">
        <v>44847</v>
      </c>
      <c r="C6" s="13">
        <v>348.83</v>
      </c>
      <c r="D6" s="13">
        <v>322.87</v>
      </c>
      <c r="E6" s="16">
        <v>-25.96</v>
      </c>
      <c r="F6" s="17">
        <v>-0.0744</v>
      </c>
    </row>
    <row r="7" ht="21.15" spans="1:6">
      <c r="A7" s="12">
        <v>44867</v>
      </c>
      <c r="B7" s="12">
        <v>44942</v>
      </c>
      <c r="C7" s="13">
        <v>376.5</v>
      </c>
      <c r="D7" s="13">
        <v>558.06</v>
      </c>
      <c r="E7" s="14">
        <v>181.55</v>
      </c>
      <c r="F7" s="15">
        <v>0.4822</v>
      </c>
    </row>
    <row r="8" ht="21.15" spans="1:6">
      <c r="A8" s="12">
        <v>44957</v>
      </c>
      <c r="B8" s="12">
        <v>44965</v>
      </c>
      <c r="C8" s="13">
        <v>592.63</v>
      </c>
      <c r="D8" s="13">
        <v>544.23</v>
      </c>
      <c r="E8" s="16">
        <v>-48.4</v>
      </c>
      <c r="F8" s="17">
        <v>-0.0817</v>
      </c>
    </row>
    <row r="9" ht="21.15" spans="1:6">
      <c r="A9" s="12">
        <v>44992</v>
      </c>
      <c r="B9" s="12">
        <v>44993</v>
      </c>
      <c r="C9" s="13">
        <v>503.63</v>
      </c>
      <c r="D9" s="13">
        <v>485.72</v>
      </c>
      <c r="E9" s="16">
        <v>-17.91</v>
      </c>
      <c r="F9" s="17">
        <v>-0.0356</v>
      </c>
    </row>
    <row r="10" ht="21.15" spans="1:6">
      <c r="A10" s="12">
        <v>45009</v>
      </c>
      <c r="B10" s="12">
        <v>45044</v>
      </c>
      <c r="C10" s="13">
        <v>530.59</v>
      </c>
      <c r="D10" s="13">
        <v>525.15</v>
      </c>
      <c r="E10" s="16">
        <v>-5.44</v>
      </c>
      <c r="F10" s="17">
        <v>-0.0103</v>
      </c>
    </row>
    <row r="11" ht="21.15" spans="1:6">
      <c r="A11" s="12">
        <v>45064</v>
      </c>
      <c r="B11" s="12">
        <v>45069</v>
      </c>
      <c r="C11" s="13">
        <v>527.12</v>
      </c>
      <c r="D11" s="13">
        <v>524.36</v>
      </c>
      <c r="E11" s="16">
        <v>-2.76</v>
      </c>
      <c r="F11" s="17">
        <v>-0.0052</v>
      </c>
    </row>
    <row r="12" ht="21.15" spans="1:6">
      <c r="A12" s="12">
        <v>45085</v>
      </c>
      <c r="B12" s="12">
        <v>45106</v>
      </c>
      <c r="C12" s="13">
        <v>523.82</v>
      </c>
      <c r="D12" s="13">
        <v>529.04</v>
      </c>
      <c r="E12" s="14">
        <v>5.22</v>
      </c>
      <c r="F12" s="15">
        <v>0.01</v>
      </c>
    </row>
    <row r="13" ht="21.15" spans="1:6">
      <c r="A13" s="12">
        <v>45121</v>
      </c>
      <c r="B13" s="12">
        <v>45154</v>
      </c>
      <c r="C13" s="13">
        <v>569.29</v>
      </c>
      <c r="D13" s="13">
        <v>589.39</v>
      </c>
      <c r="E13" s="14">
        <v>20.1</v>
      </c>
      <c r="F13" s="15">
        <v>0.0353</v>
      </c>
    </row>
    <row r="14" ht="21.15" spans="1:6">
      <c r="A14" s="12">
        <v>45167</v>
      </c>
      <c r="B14" s="12">
        <v>45180</v>
      </c>
      <c r="C14" s="13">
        <v>637.07</v>
      </c>
      <c r="D14" s="13">
        <v>590.98</v>
      </c>
      <c r="E14" s="16">
        <v>-46.09</v>
      </c>
      <c r="F14" s="17">
        <v>-0.0723</v>
      </c>
    </row>
    <row r="15" ht="21.15" spans="1:6">
      <c r="A15" s="12">
        <v>45212</v>
      </c>
      <c r="B15" s="12">
        <v>45219</v>
      </c>
      <c r="C15" s="13">
        <v>547.18</v>
      </c>
      <c r="D15" s="13">
        <v>514.71</v>
      </c>
      <c r="E15" s="16">
        <v>-32.47</v>
      </c>
      <c r="F15" s="17">
        <v>-0.0593</v>
      </c>
    </row>
    <row r="16" ht="21.15" spans="1:6">
      <c r="A16" s="12">
        <v>45230</v>
      </c>
      <c r="B16" s="12">
        <v>45232</v>
      </c>
      <c r="C16" s="13">
        <v>528.08</v>
      </c>
      <c r="D16" s="13">
        <v>515.67</v>
      </c>
      <c r="E16" s="16">
        <v>-12.41</v>
      </c>
      <c r="F16" s="17">
        <v>-0.0235</v>
      </c>
    </row>
    <row r="17" ht="21.15" spans="1:6">
      <c r="A17" s="12">
        <v>45237</v>
      </c>
      <c r="B17" s="12">
        <v>45258</v>
      </c>
      <c r="C17" s="13">
        <v>560.32</v>
      </c>
      <c r="D17" s="13">
        <v>516.83</v>
      </c>
      <c r="E17" s="16">
        <v>-43.48</v>
      </c>
      <c r="F17" s="17">
        <v>-0.0776</v>
      </c>
    </row>
    <row r="18" ht="21.15" spans="1:6">
      <c r="A18" s="12">
        <v>45330</v>
      </c>
      <c r="B18" s="12">
        <v>45441</v>
      </c>
      <c r="C18" s="13">
        <v>407.23</v>
      </c>
      <c r="D18" s="13">
        <v>922.43</v>
      </c>
      <c r="E18" s="14">
        <v>515.2</v>
      </c>
      <c r="F18" s="15">
        <v>1.2651</v>
      </c>
    </row>
    <row r="19" ht="21.15" spans="1:6">
      <c r="A19" s="12">
        <v>45457</v>
      </c>
      <c r="B19" s="12">
        <v>45498</v>
      </c>
      <c r="C19" s="13">
        <v>952.31</v>
      </c>
      <c r="D19" s="13">
        <v>933.5</v>
      </c>
      <c r="E19" s="16">
        <v>-18.81</v>
      </c>
      <c r="F19" s="17">
        <v>-0.0197</v>
      </c>
    </row>
    <row r="20" ht="21.15" spans="1:6">
      <c r="A20" s="12">
        <v>45524</v>
      </c>
      <c r="B20" s="12">
        <v>45610</v>
      </c>
      <c r="C20" s="13">
        <v>958.6</v>
      </c>
      <c r="D20" s="13">
        <v>2046.59</v>
      </c>
      <c r="E20" s="14">
        <v>1087.99</v>
      </c>
      <c r="F20" s="15">
        <v>1.135</v>
      </c>
    </row>
    <row r="21" ht="21.15" spans="1:6">
      <c r="A21" s="12">
        <v>45637</v>
      </c>
      <c r="B21" s="12">
        <v>45643</v>
      </c>
      <c r="C21" s="13">
        <v>2076.8</v>
      </c>
      <c r="D21" s="13">
        <v>1972.33</v>
      </c>
      <c r="E21" s="16">
        <v>-104.46</v>
      </c>
      <c r="F21" s="17">
        <v>-0.0503</v>
      </c>
    </row>
    <row r="22" ht="21.15" spans="1:6">
      <c r="A22" s="12">
        <v>45678</v>
      </c>
      <c r="B22" s="12">
        <v>45742</v>
      </c>
      <c r="C22" s="13">
        <v>2030.21</v>
      </c>
      <c r="D22" s="13">
        <v>2530.85</v>
      </c>
      <c r="E22" s="14">
        <v>500.64</v>
      </c>
      <c r="F22" s="15">
        <v>0.2466</v>
      </c>
    </row>
    <row r="23" ht="21.15" spans="1:6">
      <c r="A23" s="12">
        <v>45783</v>
      </c>
      <c r="B23" s="12">
        <v>45805</v>
      </c>
      <c r="C23" s="13">
        <v>2552.02</v>
      </c>
      <c r="D23" s="13">
        <v>2476.02</v>
      </c>
      <c r="E23" s="16">
        <v>-76</v>
      </c>
      <c r="F23" s="17">
        <v>-0.0298</v>
      </c>
    </row>
    <row r="24" ht="21.15" spans="1:6">
      <c r="A24" s="12">
        <v>45810</v>
      </c>
      <c r="B24" s="12">
        <v>45827</v>
      </c>
      <c r="C24" s="13">
        <v>2579.01</v>
      </c>
      <c r="D24" s="13">
        <v>2459.52</v>
      </c>
      <c r="E24" s="16">
        <v>-119.49</v>
      </c>
      <c r="F24" s="17">
        <v>-0.0463</v>
      </c>
    </row>
    <row r="25" ht="21.15" spans="1:6">
      <c r="A25" s="12">
        <v>45856</v>
      </c>
      <c r="B25" s="12">
        <v>45873</v>
      </c>
      <c r="C25" s="13">
        <v>2455.28</v>
      </c>
      <c r="D25" s="13">
        <v>2383.88</v>
      </c>
      <c r="E25" s="16">
        <v>-71.4</v>
      </c>
      <c r="F25" s="17">
        <v>-0.0291</v>
      </c>
    </row>
    <row r="26" ht="21.15" spans="1:6">
      <c r="A26" s="12">
        <v>45919</v>
      </c>
      <c r="B26" s="12">
        <v>45944</v>
      </c>
      <c r="C26" s="13">
        <v>2226.66</v>
      </c>
      <c r="D26" s="13">
        <v>2059.08</v>
      </c>
      <c r="E26" s="16">
        <v>-167.58</v>
      </c>
      <c r="F26" s="17">
        <v>-0.0753</v>
      </c>
    </row>
    <row r="27" ht="21.15" spans="1:6">
      <c r="A27" s="12">
        <v>45958</v>
      </c>
      <c r="B27" s="12">
        <v>45979</v>
      </c>
      <c r="C27" s="13">
        <v>2138.48</v>
      </c>
      <c r="D27" s="13">
        <v>2108.55</v>
      </c>
      <c r="E27" s="16">
        <v>-29.94</v>
      </c>
      <c r="F27" s="17">
        <v>-0.014</v>
      </c>
    </row>
    <row r="28" ht="21.15" spans="1:6">
      <c r="A28" s="12">
        <v>45989</v>
      </c>
      <c r="B28" s="12">
        <v>45995</v>
      </c>
      <c r="C28" s="13">
        <v>2236.35</v>
      </c>
      <c r="D28" s="13">
        <v>2140.35</v>
      </c>
      <c r="E28" s="16">
        <v>-96</v>
      </c>
      <c r="F28" s="17">
        <v>-0.0429</v>
      </c>
    </row>
    <row r="29" ht="21.15" spans="1:6">
      <c r="A29" s="12">
        <v>46001</v>
      </c>
      <c r="B29" s="12">
        <v>46036</v>
      </c>
      <c r="C29" s="13">
        <v>2181.81</v>
      </c>
      <c r="D29" s="13">
        <v>2239.67</v>
      </c>
      <c r="E29" s="14">
        <v>57.86</v>
      </c>
      <c r="F29" s="15">
        <v>0.0265</v>
      </c>
    </row>
    <row r="30" ht="21.15" spans="1:6">
      <c r="A30" s="12">
        <v>46038</v>
      </c>
      <c r="B30" s="12">
        <v>46041</v>
      </c>
      <c r="C30" s="13">
        <v>2206.57</v>
      </c>
      <c r="D30" s="13">
        <v>2173.47</v>
      </c>
      <c r="E30" s="16">
        <v>-33.1</v>
      </c>
      <c r="F30" s="17">
        <v>-0.015</v>
      </c>
    </row>
    <row r="31" ht="21.15" spans="1:6">
      <c r="A31" s="12">
        <v>46100</v>
      </c>
      <c r="B31" s="12">
        <v>46136</v>
      </c>
      <c r="C31" s="13">
        <v>1854.82</v>
      </c>
      <c r="D31" s="13">
        <v>2010.76</v>
      </c>
      <c r="E31" s="14">
        <v>155.94</v>
      </c>
      <c r="F31" s="15">
        <v>0.0841</v>
      </c>
    </row>
    <row r="32" ht="21.15" spans="1:6">
      <c r="A32" s="12">
        <v>46155</v>
      </c>
      <c r="B32" s="12">
        <v>46163</v>
      </c>
      <c r="C32" s="13">
        <v>2144.22</v>
      </c>
      <c r="D32" s="13">
        <v>2009.59</v>
      </c>
      <c r="E32" s="16">
        <v>-134.63</v>
      </c>
      <c r="F32" s="17">
        <v>-0.0628</v>
      </c>
    </row>
    <row r="33" spans="1:6">
      <c r="A33">
        <f>SUM(A2:A32)</f>
        <v>1406893</v>
      </c>
      <c r="B33">
        <f>SUM(B2:B32)</f>
        <v>1407762</v>
      </c>
      <c r="C33">
        <f>SUM(C2:C32)</f>
        <v>36401.61</v>
      </c>
      <c r="D33">
        <f>SUM(D2:D32)</f>
        <v>37941.06</v>
      </c>
      <c r="E33">
        <f>SUM(E2:E32)</f>
        <v>1539.45</v>
      </c>
      <c r="F33">
        <f>SUM(F2:F32)</f>
        <v>2.9957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J15" sqref="J15"/>
    </sheetView>
  </sheetViews>
  <sheetFormatPr defaultColWidth="9.23076923076923" defaultRowHeight="16.8"/>
  <cols>
    <col min="1" max="1" width="9.84615384615385"/>
    <col min="2" max="2" width="10.9230769230769"/>
    <col min="3" max="4" width="9.69230769230769"/>
    <col min="10" max="10" width="14.0769230769231"/>
  </cols>
  <sheetData>
    <row r="1" ht="80" spans="1:10">
      <c r="A1" s="1" t="s">
        <v>240</v>
      </c>
    </row>
    <row r="2" ht="17.55" spans="1:10">
      <c r="A2" s="2" t="s">
        <v>234</v>
      </c>
      <c r="B2" s="2" t="s">
        <v>235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238</v>
      </c>
      <c r="H2" s="3" t="s">
        <v>239</v>
      </c>
    </row>
    <row r="3" ht="17.55" spans="1:10">
      <c r="A3" s="4">
        <v>44641</v>
      </c>
      <c r="B3" s="4">
        <v>44673</v>
      </c>
      <c r="C3" s="5">
        <v>153.38</v>
      </c>
      <c r="D3" s="5">
        <v>175.52</v>
      </c>
      <c r="E3" s="5">
        <v>132.52</v>
      </c>
      <c r="F3" s="5">
        <v>135.58</v>
      </c>
      <c r="G3" s="6">
        <v>3.06</v>
      </c>
      <c r="H3" s="7">
        <v>0.0231</v>
      </c>
      <c r="I3">
        <f>F3-E3</f>
        <v>3.06</v>
      </c>
      <c r="J3">
        <f>I3/E3</f>
        <v>0.0230908542106852</v>
      </c>
    </row>
    <row r="4" ht="17.55" spans="1:10">
      <c r="A4" s="4">
        <v>44680</v>
      </c>
      <c r="B4" s="4">
        <v>44732</v>
      </c>
      <c r="C4" s="5">
        <v>203.15</v>
      </c>
      <c r="D4" s="5">
        <v>212.83</v>
      </c>
      <c r="E4" s="5">
        <v>152.07</v>
      </c>
      <c r="F4" s="5">
        <v>139.29</v>
      </c>
      <c r="G4" s="8">
        <v>-12.78</v>
      </c>
      <c r="H4" s="9">
        <v>-0.0841</v>
      </c>
      <c r="I4">
        <f t="shared" ref="I4:I38" si="0">F4-E4</f>
        <v>-12.78</v>
      </c>
      <c r="J4">
        <f t="shared" ref="J4:J38" si="1">I4/E4</f>
        <v>-0.0840402446241862</v>
      </c>
    </row>
    <row r="5" ht="17.55" spans="1:10">
      <c r="A5" s="4">
        <v>44763</v>
      </c>
      <c r="B5" s="4">
        <v>44782</v>
      </c>
      <c r="C5" s="5">
        <v>244.54</v>
      </c>
      <c r="D5" s="5">
        <v>227.34</v>
      </c>
      <c r="E5" s="5">
        <v>150.95</v>
      </c>
      <c r="F5" s="5">
        <v>137.12</v>
      </c>
      <c r="G5" s="8">
        <v>-13.83</v>
      </c>
      <c r="H5" s="9">
        <v>-0.0916</v>
      </c>
      <c r="I5">
        <f t="shared" si="0"/>
        <v>-13.83</v>
      </c>
      <c r="J5">
        <f t="shared" si="1"/>
        <v>-0.0916197416363033</v>
      </c>
    </row>
    <row r="6" ht="17.55" spans="1:10">
      <c r="A6" s="4">
        <v>44790</v>
      </c>
      <c r="B6" s="4">
        <v>44792</v>
      </c>
      <c r="C6" s="5">
        <v>237.03</v>
      </c>
      <c r="D6" s="5">
        <v>224.45</v>
      </c>
      <c r="E6" s="5">
        <v>142.55</v>
      </c>
      <c r="F6" s="5">
        <v>131.39</v>
      </c>
      <c r="G6" s="8">
        <v>-11.16</v>
      </c>
      <c r="H6" s="9">
        <v>-0.0783</v>
      </c>
      <c r="I6">
        <f t="shared" si="0"/>
        <v>-11.16</v>
      </c>
      <c r="J6">
        <f t="shared" si="1"/>
        <v>-0.0782883198877588</v>
      </c>
    </row>
    <row r="7" ht="17.55" spans="1:10">
      <c r="A7" s="4">
        <v>44799</v>
      </c>
      <c r="B7" s="4">
        <v>44812</v>
      </c>
      <c r="C7" s="5">
        <v>242.7</v>
      </c>
      <c r="D7" s="5">
        <v>226.12</v>
      </c>
      <c r="E7" s="5">
        <v>140.67</v>
      </c>
      <c r="F7" s="5">
        <v>130.56</v>
      </c>
      <c r="G7" s="8">
        <v>-10.11</v>
      </c>
      <c r="H7" s="9">
        <v>-0.0719</v>
      </c>
      <c r="I7">
        <f t="shared" si="0"/>
        <v>-10.11</v>
      </c>
      <c r="J7">
        <f t="shared" si="1"/>
        <v>-0.0718703348261888</v>
      </c>
    </row>
    <row r="8" ht="17.55" spans="1:10">
      <c r="A8" s="4">
        <v>44845</v>
      </c>
      <c r="B8" s="4">
        <v>44846</v>
      </c>
      <c r="C8" s="5">
        <v>214.1</v>
      </c>
      <c r="D8" s="5">
        <v>211.33</v>
      </c>
      <c r="E8" s="5">
        <v>114.55</v>
      </c>
      <c r="F8" s="5">
        <v>113.07</v>
      </c>
      <c r="G8" s="8">
        <v>-1.48</v>
      </c>
      <c r="H8" s="9">
        <v>-0.0129</v>
      </c>
      <c r="I8">
        <f t="shared" si="0"/>
        <v>-1.48</v>
      </c>
      <c r="J8">
        <f t="shared" si="1"/>
        <v>-0.0129201222173724</v>
      </c>
    </row>
    <row r="9" ht="17.55" spans="1:10">
      <c r="A9" s="4">
        <v>44869</v>
      </c>
      <c r="B9" s="4">
        <v>44972</v>
      </c>
      <c r="C9" s="5">
        <v>218.17</v>
      </c>
      <c r="D9" s="5">
        <v>389.93</v>
      </c>
      <c r="E9" s="5">
        <v>97.55</v>
      </c>
      <c r="F9" s="5">
        <v>133.64</v>
      </c>
      <c r="G9" s="6">
        <v>36.08</v>
      </c>
      <c r="H9" s="7">
        <v>0.3699</v>
      </c>
      <c r="I9">
        <f t="shared" si="0"/>
        <v>36.09</v>
      </c>
      <c r="J9">
        <f t="shared" si="1"/>
        <v>0.369964120963608</v>
      </c>
    </row>
    <row r="10" ht="17.55" spans="1:10">
      <c r="A10" s="4">
        <v>44988</v>
      </c>
      <c r="B10" s="4">
        <v>45043</v>
      </c>
      <c r="C10" s="5">
        <v>435.97</v>
      </c>
      <c r="D10" s="5">
        <v>459.39</v>
      </c>
      <c r="E10" s="5">
        <v>134.13</v>
      </c>
      <c r="F10" s="5">
        <v>134.38</v>
      </c>
      <c r="G10" s="6">
        <v>0.25</v>
      </c>
      <c r="H10" s="7">
        <v>0.0019</v>
      </c>
      <c r="I10">
        <f t="shared" si="0"/>
        <v>0.25</v>
      </c>
      <c r="J10">
        <f t="shared" si="1"/>
        <v>0.00186386341608887</v>
      </c>
    </row>
    <row r="11" ht="17.55" spans="1:10">
      <c r="A11" s="4">
        <v>45068</v>
      </c>
      <c r="B11" s="4">
        <v>45069</v>
      </c>
      <c r="C11" s="5">
        <v>473.6</v>
      </c>
      <c r="D11" s="5">
        <v>459.6</v>
      </c>
      <c r="E11" s="5">
        <v>138.54</v>
      </c>
      <c r="F11" s="5">
        <v>133.59</v>
      </c>
      <c r="G11" s="8">
        <v>-4.95</v>
      </c>
      <c r="H11" s="9">
        <v>-0.0357</v>
      </c>
      <c r="I11">
        <f t="shared" si="0"/>
        <v>-4.94999999999999</v>
      </c>
      <c r="J11">
        <f t="shared" si="1"/>
        <v>-0.0357297531398873</v>
      </c>
    </row>
    <row r="12" ht="17.55" spans="1:10">
      <c r="A12" s="4">
        <v>45078</v>
      </c>
      <c r="B12" s="4">
        <v>45153</v>
      </c>
      <c r="C12" s="5">
        <v>466.47</v>
      </c>
      <c r="D12" s="5">
        <v>604.72</v>
      </c>
      <c r="E12" s="5">
        <v>130.33</v>
      </c>
      <c r="F12" s="5">
        <v>160.71</v>
      </c>
      <c r="G12" s="6">
        <v>30.38</v>
      </c>
      <c r="H12" s="7">
        <v>0.2331</v>
      </c>
      <c r="I12">
        <f t="shared" si="0"/>
        <v>30.38</v>
      </c>
      <c r="J12">
        <f t="shared" si="1"/>
        <v>0.233100590807949</v>
      </c>
    </row>
    <row r="13" ht="17.55" spans="1:10">
      <c r="A13" s="4">
        <v>45168</v>
      </c>
      <c r="B13" s="4">
        <v>45190</v>
      </c>
      <c r="C13" s="5">
        <v>634.2</v>
      </c>
      <c r="D13" s="5">
        <v>597.38</v>
      </c>
      <c r="E13" s="5">
        <v>161.01</v>
      </c>
      <c r="F13" s="5">
        <v>151.01</v>
      </c>
      <c r="G13" s="8">
        <v>-10</v>
      </c>
      <c r="H13" s="9">
        <v>-0.0621</v>
      </c>
      <c r="I13">
        <f t="shared" si="0"/>
        <v>-10</v>
      </c>
      <c r="J13">
        <f t="shared" si="1"/>
        <v>-0.0621079436059872</v>
      </c>
    </row>
    <row r="14" ht="17.55" spans="1:10">
      <c r="A14" s="4">
        <v>45197</v>
      </c>
      <c r="B14" s="4">
        <v>45198</v>
      </c>
      <c r="C14" s="5">
        <v>600.72</v>
      </c>
      <c r="D14" s="5">
        <v>636.32</v>
      </c>
      <c r="E14" s="5">
        <v>149.82</v>
      </c>
      <c r="F14" s="5">
        <v>158.04</v>
      </c>
      <c r="G14" s="6">
        <v>8.22</v>
      </c>
      <c r="H14" s="7">
        <v>0.0549</v>
      </c>
      <c r="I14">
        <f t="shared" si="0"/>
        <v>8.22</v>
      </c>
      <c r="J14">
        <f t="shared" si="1"/>
        <v>0.0548658390068082</v>
      </c>
    </row>
    <row r="15" ht="17.55" spans="1:10">
      <c r="A15" s="4">
        <v>45204</v>
      </c>
      <c r="B15" s="4">
        <v>45264</v>
      </c>
      <c r="C15" s="5">
        <v>623.66</v>
      </c>
      <c r="D15" s="5">
        <v>715.05</v>
      </c>
      <c r="E15" s="5">
        <v>152.79</v>
      </c>
      <c r="F15" s="5">
        <v>165.17</v>
      </c>
      <c r="G15" s="6">
        <v>12.38</v>
      </c>
      <c r="H15" s="7">
        <v>0.081</v>
      </c>
      <c r="I15">
        <f t="shared" si="0"/>
        <v>12.38</v>
      </c>
      <c r="J15">
        <f t="shared" si="1"/>
        <v>0.0810262451731134</v>
      </c>
    </row>
    <row r="16" ht="17.55" spans="1:10">
      <c r="A16" s="4">
        <v>45295</v>
      </c>
      <c r="B16" s="4">
        <v>45309</v>
      </c>
      <c r="C16" s="5">
        <v>735.62</v>
      </c>
      <c r="D16" s="5">
        <v>694.32</v>
      </c>
      <c r="E16" s="5">
        <v>147.42</v>
      </c>
      <c r="F16" s="5">
        <v>135.92</v>
      </c>
      <c r="G16" s="8">
        <v>-11.5</v>
      </c>
      <c r="H16" s="9">
        <v>-0.078</v>
      </c>
      <c r="I16">
        <f t="shared" si="0"/>
        <v>-11.5</v>
      </c>
      <c r="J16">
        <f t="shared" si="1"/>
        <v>-0.0780084113417447</v>
      </c>
    </row>
    <row r="17" ht="17.55" spans="1:10">
      <c r="A17" s="4">
        <v>45310</v>
      </c>
      <c r="B17" s="4">
        <v>45313</v>
      </c>
      <c r="C17" s="5">
        <v>703.43</v>
      </c>
      <c r="D17" s="5">
        <v>698.37</v>
      </c>
      <c r="E17" s="5">
        <v>137.71</v>
      </c>
      <c r="F17" s="5">
        <v>136.72</v>
      </c>
      <c r="G17" s="8">
        <v>-0.99</v>
      </c>
      <c r="H17" s="9">
        <v>-0.0072</v>
      </c>
      <c r="I17">
        <f t="shared" si="0"/>
        <v>-0.990000000000009</v>
      </c>
      <c r="J17">
        <f t="shared" si="1"/>
        <v>-0.0071890204051994</v>
      </c>
    </row>
    <row r="18" ht="17.55" spans="1:10">
      <c r="A18" s="4">
        <v>45314</v>
      </c>
      <c r="B18" s="4">
        <v>45371</v>
      </c>
      <c r="C18" s="5">
        <v>750.93</v>
      </c>
      <c r="D18" s="5">
        <v>931.96</v>
      </c>
      <c r="E18" s="5">
        <v>144.95</v>
      </c>
      <c r="F18" s="5">
        <v>163.69</v>
      </c>
      <c r="G18" s="6">
        <v>18.75</v>
      </c>
      <c r="H18" s="7">
        <v>0.1293</v>
      </c>
      <c r="I18">
        <f t="shared" si="0"/>
        <v>18.74</v>
      </c>
      <c r="J18">
        <f t="shared" si="1"/>
        <v>0.129285960676095</v>
      </c>
    </row>
    <row r="19" ht="17.55" spans="1:10">
      <c r="A19" s="4">
        <v>45411</v>
      </c>
      <c r="B19" s="4">
        <v>45439</v>
      </c>
      <c r="C19" s="5">
        <v>900.99</v>
      </c>
      <c r="D19" s="5">
        <v>876.25</v>
      </c>
      <c r="E19" s="5">
        <v>149.89</v>
      </c>
      <c r="F19" s="5">
        <v>138.28</v>
      </c>
      <c r="G19" s="8">
        <v>-11.61</v>
      </c>
      <c r="H19" s="9">
        <v>-0.0775</v>
      </c>
      <c r="I19">
        <f t="shared" si="0"/>
        <v>-11.61</v>
      </c>
      <c r="J19">
        <f t="shared" si="1"/>
        <v>-0.0774568016545466</v>
      </c>
    </row>
    <row r="20" ht="17.55" spans="1:10">
      <c r="A20" s="4">
        <v>45455</v>
      </c>
      <c r="B20" s="4">
        <v>45484</v>
      </c>
      <c r="C20" s="5">
        <v>929.39</v>
      </c>
      <c r="D20" s="5">
        <v>935.73</v>
      </c>
      <c r="E20" s="5">
        <v>145.03</v>
      </c>
      <c r="F20" s="5">
        <v>141.66</v>
      </c>
      <c r="G20" s="8">
        <v>-3.38</v>
      </c>
      <c r="H20" s="9">
        <v>-0.0233</v>
      </c>
      <c r="I20">
        <f t="shared" si="0"/>
        <v>-3.37</v>
      </c>
      <c r="J20">
        <f t="shared" si="1"/>
        <v>-0.0232365717437772</v>
      </c>
    </row>
    <row r="21" ht="17.55" spans="1:10">
      <c r="A21" s="4">
        <v>45499</v>
      </c>
      <c r="B21" s="4">
        <v>45505</v>
      </c>
      <c r="C21" s="5">
        <v>952.23</v>
      </c>
      <c r="D21" s="5">
        <v>947.61</v>
      </c>
      <c r="E21" s="5">
        <v>143.15</v>
      </c>
      <c r="F21" s="5">
        <v>142.45</v>
      </c>
      <c r="G21" s="8">
        <v>-0.7</v>
      </c>
      <c r="H21" s="9">
        <v>-0.0049</v>
      </c>
      <c r="I21">
        <f t="shared" si="0"/>
        <v>-0.700000000000017</v>
      </c>
      <c r="J21">
        <f t="shared" si="1"/>
        <v>-0.00488997555012237</v>
      </c>
    </row>
    <row r="22" ht="17.55" spans="1:10">
      <c r="A22" s="4">
        <v>45524</v>
      </c>
      <c r="B22" s="4">
        <v>45530</v>
      </c>
      <c r="C22" s="5">
        <v>960.02</v>
      </c>
      <c r="D22" s="5">
        <v>876.11</v>
      </c>
      <c r="E22" s="5">
        <v>140.96</v>
      </c>
      <c r="F22" s="5">
        <v>127.15</v>
      </c>
      <c r="G22" s="8">
        <v>-13.81</v>
      </c>
      <c r="H22" s="9">
        <v>-0.098</v>
      </c>
      <c r="I22">
        <f t="shared" si="0"/>
        <v>-13.81</v>
      </c>
      <c r="J22">
        <f t="shared" si="1"/>
        <v>-0.0979710556186152</v>
      </c>
    </row>
    <row r="23" ht="17.55" spans="1:10">
      <c r="A23" s="4">
        <v>45559</v>
      </c>
      <c r="B23" s="4">
        <v>45582</v>
      </c>
      <c r="C23" s="5">
        <v>914.52</v>
      </c>
      <c r="D23" s="5">
        <v>950.37</v>
      </c>
      <c r="E23" s="5">
        <v>130.42</v>
      </c>
      <c r="F23" s="5">
        <v>123.66</v>
      </c>
      <c r="G23" s="8">
        <v>-6.76</v>
      </c>
      <c r="H23" s="9">
        <v>-0.0518</v>
      </c>
      <c r="I23">
        <f t="shared" si="0"/>
        <v>-6.75999999999999</v>
      </c>
      <c r="J23">
        <f t="shared" si="1"/>
        <v>-0.0518325410213157</v>
      </c>
    </row>
    <row r="24" ht="17.55" spans="1:10">
      <c r="A24" s="4">
        <v>45611</v>
      </c>
      <c r="B24" s="4">
        <v>45656</v>
      </c>
      <c r="C24" s="5">
        <v>1102.44</v>
      </c>
      <c r="D24" s="5">
        <v>1177.98</v>
      </c>
      <c r="E24" s="5">
        <v>133.21</v>
      </c>
      <c r="F24" s="5">
        <v>139.46</v>
      </c>
      <c r="G24" s="6">
        <v>6.25</v>
      </c>
      <c r="H24" s="7">
        <v>0.0469</v>
      </c>
      <c r="I24">
        <f t="shared" si="0"/>
        <v>6.25</v>
      </c>
      <c r="J24">
        <f t="shared" si="1"/>
        <v>0.0469183995195556</v>
      </c>
    </row>
    <row r="25" ht="17.55" spans="1:10">
      <c r="A25" s="4">
        <v>45670</v>
      </c>
      <c r="B25" s="4">
        <v>45712</v>
      </c>
      <c r="C25" s="5">
        <v>1248.55</v>
      </c>
      <c r="D25" s="5">
        <v>1335.21</v>
      </c>
      <c r="E25" s="5">
        <v>147.81</v>
      </c>
      <c r="F25" s="5">
        <v>156.57</v>
      </c>
      <c r="G25" s="6">
        <v>8.75</v>
      </c>
      <c r="H25" s="7">
        <v>0.0592</v>
      </c>
      <c r="I25">
        <f t="shared" si="0"/>
        <v>8.75999999999999</v>
      </c>
      <c r="J25">
        <f t="shared" si="1"/>
        <v>0.0592652729855895</v>
      </c>
    </row>
    <row r="26" ht="17.55" spans="1:10">
      <c r="A26" s="4">
        <v>45723</v>
      </c>
      <c r="B26" s="4">
        <v>45737</v>
      </c>
      <c r="C26" s="5">
        <v>1403.62</v>
      </c>
      <c r="D26" s="5">
        <v>1327.45</v>
      </c>
      <c r="E26" s="5">
        <v>161</v>
      </c>
      <c r="F26" s="5">
        <v>151.33</v>
      </c>
      <c r="G26" s="8">
        <v>-9.66</v>
      </c>
      <c r="H26" s="9">
        <v>-0.06</v>
      </c>
      <c r="I26">
        <f t="shared" si="0"/>
        <v>-9.66999999999999</v>
      </c>
      <c r="J26">
        <f t="shared" si="1"/>
        <v>-0.0600621118012422</v>
      </c>
    </row>
    <row r="27" ht="17.55" spans="1:10">
      <c r="A27" s="4">
        <v>45748</v>
      </c>
      <c r="B27" s="4">
        <v>45758</v>
      </c>
      <c r="C27" s="5">
        <v>1460.01</v>
      </c>
      <c r="D27" s="5">
        <v>1443.3</v>
      </c>
      <c r="E27" s="5">
        <v>163.89</v>
      </c>
      <c r="F27" s="5">
        <v>149.64</v>
      </c>
      <c r="G27" s="8">
        <v>-14.25</v>
      </c>
      <c r="H27" s="9">
        <v>-0.0869</v>
      </c>
      <c r="I27">
        <f t="shared" si="0"/>
        <v>-14.25</v>
      </c>
      <c r="J27">
        <f t="shared" si="1"/>
        <v>-0.0869485630605894</v>
      </c>
    </row>
    <row r="28" ht="17.55" spans="1:10">
      <c r="A28" s="4">
        <v>45761</v>
      </c>
      <c r="B28" s="4">
        <v>45849</v>
      </c>
      <c r="C28" s="5">
        <v>1484.62</v>
      </c>
      <c r="D28" s="5">
        <v>2082.68</v>
      </c>
      <c r="E28" s="5">
        <v>153.92</v>
      </c>
      <c r="F28" s="5">
        <v>201.18</v>
      </c>
      <c r="G28" s="6">
        <v>47.26</v>
      </c>
      <c r="H28" s="7">
        <v>0.307</v>
      </c>
      <c r="I28">
        <f t="shared" si="0"/>
        <v>47.26</v>
      </c>
      <c r="J28">
        <f t="shared" si="1"/>
        <v>0.30704261954262</v>
      </c>
    </row>
    <row r="29" ht="17.55" spans="1:10">
      <c r="A29" s="4">
        <v>45856</v>
      </c>
      <c r="B29" s="4">
        <v>45870</v>
      </c>
      <c r="C29" s="5">
        <v>2210.76</v>
      </c>
      <c r="D29" s="5">
        <v>2109.34</v>
      </c>
      <c r="E29" s="5">
        <v>212.55</v>
      </c>
      <c r="F29" s="5">
        <v>200.79</v>
      </c>
      <c r="G29" s="8">
        <v>-11.76</v>
      </c>
      <c r="H29" s="9">
        <v>-0.0553</v>
      </c>
      <c r="I29">
        <f t="shared" si="0"/>
        <v>-11.76</v>
      </c>
      <c r="J29">
        <f t="shared" si="1"/>
        <v>-0.0553281580804517</v>
      </c>
    </row>
    <row r="30" ht="17.55" spans="1:10">
      <c r="A30" s="4">
        <v>45887</v>
      </c>
      <c r="B30" s="4">
        <v>45943</v>
      </c>
      <c r="C30" s="5">
        <v>2189.84</v>
      </c>
      <c r="D30" s="5">
        <v>2565.58</v>
      </c>
      <c r="E30" s="5">
        <v>203.58</v>
      </c>
      <c r="F30" s="5">
        <v>234.41</v>
      </c>
      <c r="G30" s="6">
        <v>30.83</v>
      </c>
      <c r="H30" s="7">
        <v>0.1514</v>
      </c>
      <c r="I30">
        <f t="shared" si="0"/>
        <v>30.83</v>
      </c>
      <c r="J30">
        <f t="shared" si="1"/>
        <v>0.151439237646134</v>
      </c>
    </row>
    <row r="31" ht="17.55" spans="1:10">
      <c r="A31" s="4">
        <v>45952</v>
      </c>
      <c r="B31" s="4">
        <v>45958</v>
      </c>
      <c r="C31" s="5">
        <v>2576.41</v>
      </c>
      <c r="D31" s="5">
        <v>2520.3</v>
      </c>
      <c r="E31" s="5">
        <v>229.02</v>
      </c>
      <c r="F31" s="5">
        <v>224.03</v>
      </c>
      <c r="G31" s="8">
        <v>-4.99</v>
      </c>
      <c r="H31" s="9">
        <v>-0.0218</v>
      </c>
      <c r="I31">
        <f t="shared" si="0"/>
        <v>-4.99000000000001</v>
      </c>
      <c r="J31">
        <f t="shared" si="1"/>
        <v>-0.0217884900882019</v>
      </c>
    </row>
    <row r="32" ht="17.55" spans="1:10">
      <c r="A32" s="4">
        <v>45989</v>
      </c>
      <c r="B32" s="4">
        <v>46002</v>
      </c>
      <c r="C32" s="5">
        <v>2439.39</v>
      </c>
      <c r="D32" s="5">
        <v>2406.54</v>
      </c>
      <c r="E32" s="5">
        <v>213.46</v>
      </c>
      <c r="F32" s="5">
        <v>209.18</v>
      </c>
      <c r="G32" s="8">
        <v>-4.28</v>
      </c>
      <c r="H32" s="9">
        <v>-0.02</v>
      </c>
      <c r="I32">
        <f t="shared" si="0"/>
        <v>-4.28</v>
      </c>
      <c r="J32">
        <f t="shared" si="1"/>
        <v>-0.020050594959243</v>
      </c>
    </row>
    <row r="33" ht="17.55" spans="1:10">
      <c r="A33" s="4">
        <v>46006</v>
      </c>
      <c r="B33" s="4">
        <v>46010</v>
      </c>
      <c r="C33" s="5">
        <v>2512.37</v>
      </c>
      <c r="D33" s="5">
        <v>2486.85</v>
      </c>
      <c r="E33" s="5">
        <v>216.17</v>
      </c>
      <c r="F33" s="5">
        <v>213.97</v>
      </c>
      <c r="G33" s="8">
        <v>-2.2</v>
      </c>
      <c r="H33" s="9">
        <v>-0.0102</v>
      </c>
      <c r="I33">
        <f t="shared" si="0"/>
        <v>-2.19999999999999</v>
      </c>
      <c r="J33">
        <f t="shared" si="1"/>
        <v>-0.0101771753712355</v>
      </c>
    </row>
    <row r="34" ht="17.55" spans="1:10">
      <c r="A34" s="4">
        <v>46020</v>
      </c>
      <c r="B34" s="4">
        <v>46043</v>
      </c>
      <c r="C34" s="5">
        <v>2507.73</v>
      </c>
      <c r="D34" s="5">
        <v>2490.72</v>
      </c>
      <c r="E34" s="5">
        <v>215.77</v>
      </c>
      <c r="F34" s="5">
        <v>207.58</v>
      </c>
      <c r="G34" s="8">
        <v>-8.18</v>
      </c>
      <c r="H34" s="9">
        <v>-0.0379</v>
      </c>
      <c r="I34">
        <f t="shared" si="0"/>
        <v>-8.19</v>
      </c>
      <c r="J34">
        <f t="shared" si="1"/>
        <v>-0.0379570839319646</v>
      </c>
    </row>
    <row r="35" ht="17.55" spans="1:10">
      <c r="A35" s="4">
        <v>46090</v>
      </c>
      <c r="B35" s="4">
        <v>46106</v>
      </c>
      <c r="C35" s="5">
        <v>2323.93</v>
      </c>
      <c r="D35" s="5">
        <v>2254.53</v>
      </c>
      <c r="E35" s="5">
        <v>183.53</v>
      </c>
      <c r="F35" s="5">
        <v>176.17</v>
      </c>
      <c r="G35" s="8">
        <v>-7.36</v>
      </c>
      <c r="H35" s="9">
        <v>-0.0401</v>
      </c>
      <c r="I35">
        <f t="shared" si="0"/>
        <v>-7.36000000000001</v>
      </c>
      <c r="J35">
        <f t="shared" si="1"/>
        <v>-0.0401024355691168</v>
      </c>
    </row>
    <row r="36" ht="17.55" spans="1:10">
      <c r="A36" s="4">
        <v>46126</v>
      </c>
      <c r="B36" s="4">
        <v>46140</v>
      </c>
      <c r="C36" s="5">
        <v>2254.81</v>
      </c>
      <c r="D36" s="5">
        <v>2257.61</v>
      </c>
      <c r="E36" s="5">
        <v>175.17</v>
      </c>
      <c r="F36" s="5">
        <v>172.67</v>
      </c>
      <c r="G36" s="8">
        <v>-2.5</v>
      </c>
      <c r="H36" s="9">
        <v>-0.0143</v>
      </c>
      <c r="I36">
        <f t="shared" si="0"/>
        <v>-2.5</v>
      </c>
      <c r="J36">
        <f t="shared" si="1"/>
        <v>-0.0142718502026603</v>
      </c>
    </row>
    <row r="37" ht="17.55" spans="1:10">
      <c r="A37" s="4">
        <v>46147</v>
      </c>
      <c r="B37" s="4">
        <v>46162</v>
      </c>
      <c r="C37" s="5">
        <v>2367.35</v>
      </c>
      <c r="D37" s="5">
        <v>2356.9</v>
      </c>
      <c r="E37" s="5">
        <v>181.07</v>
      </c>
      <c r="F37" s="5">
        <v>180.27</v>
      </c>
      <c r="G37" s="8">
        <v>-0.8</v>
      </c>
      <c r="H37" s="9">
        <v>-0.0044</v>
      </c>
      <c r="I37">
        <f t="shared" si="0"/>
        <v>-0.799999999999983</v>
      </c>
      <c r="J37">
        <f t="shared" si="1"/>
        <v>-0.00441818081404972</v>
      </c>
    </row>
    <row r="38" spans="1:10">
      <c r="A38">
        <f>SUM(A3:A37)</f>
        <v>1590043</v>
      </c>
      <c r="B38">
        <f>SUM(B3:B37)</f>
        <v>1591005</v>
      </c>
      <c r="C38">
        <f>SUM(C3:C37)</f>
        <v>39676.65</v>
      </c>
      <c r="D38">
        <f>SUM(D3:D37)</f>
        <v>40865.69</v>
      </c>
      <c r="E38">
        <f>SUM(E3:E37)</f>
        <v>5527.16</v>
      </c>
      <c r="F38">
        <f>SUM(F3:F37)</f>
        <v>5550.33</v>
      </c>
      <c r="G38">
        <f>SUM(G3:G37)</f>
        <v>23.17</v>
      </c>
      <c r="H38">
        <f>SUM(H3:H37)</f>
        <v>0.3295</v>
      </c>
      <c r="I38">
        <f t="shared" si="0"/>
        <v>23.1700000000001</v>
      </c>
      <c r="J38">
        <f t="shared" si="1"/>
        <v>0.00419202628474661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batch_backtest_results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Crystal-Tensor</cp:lastModifiedBy>
  <dcterms:created xsi:type="dcterms:W3CDTF">2026-06-11T15:09:00Z</dcterms:created>
  <dcterms:modified xsi:type="dcterms:W3CDTF">2026-06-12T09:02:46Z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01EF1879AF612731B65A2B6AC1328177_43</vt:lpwstr>
  </property>
</Properties>
</file>